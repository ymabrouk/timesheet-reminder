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Monitoring tools\timesheet-extractor\"/>
    </mc:Choice>
  </mc:AlternateContent>
  <xr:revisionPtr revIDLastSave="0" documentId="13_ncr:1_{C9CEA91C-B111-4092-9448-5E355A1508DD}" xr6:coauthVersionLast="47" xr6:coauthVersionMax="47" xr10:uidLastSave="{00000000-0000-0000-0000-000000000000}"/>
  <bookViews>
    <workbookView xWindow="-110" yWindow="-110" windowWidth="19420" windowHeight="10300" activeTab="4" xr2:uid="{00000000-000D-0000-FFFF-FFFF00000000}"/>
  </bookViews>
  <sheets>
    <sheet name="consolidated_efforts" sheetId="1" r:id="rId1"/>
    <sheet name="Employees Effort" sheetId="2" r:id="rId2"/>
    <sheet name="Lookup" sheetId="3" r:id="rId3"/>
    <sheet name="Project Code" sheetId="4" r:id="rId4"/>
    <sheet name="Setup Prompt" sheetId="5" r:id="rId5"/>
  </sheets>
  <definedNames>
    <definedName name="_xlnm._FilterDatabase" localSheetId="1" hidden="1">'Employees Effort'!$A$1:$I$19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 i="3" l="1" a="1"/>
  <c r="G2" i="3" s="1"/>
  <c r="A7" i="2" l="1" a="1"/>
  <c r="A7" i="2" s="1"/>
  <c r="E7" i="2" s="1" a="1"/>
  <c r="A13" i="2" a="1"/>
  <c r="A13" i="2" s="1"/>
  <c r="A19" i="2" a="1"/>
  <c r="A19" i="2" s="1"/>
  <c r="A8" i="2" a="1"/>
  <c r="A8" i="2" s="1"/>
  <c r="E8" i="2" s="1" a="1"/>
  <c r="A14" i="2" a="1"/>
  <c r="A14" i="2" s="1"/>
  <c r="A2" i="2" a="1"/>
  <c r="A2" i="2" s="1"/>
  <c r="H2" i="2" s="1"/>
  <c r="A18" i="2" a="1"/>
  <c r="A18" i="2" s="1"/>
  <c r="D18" i="2" s="1" a="1"/>
  <c r="D18" i="2" s="1"/>
  <c r="F18" i="2" s="1"/>
  <c r="A15" i="2" a="1"/>
  <c r="A15" i="2" s="1"/>
  <c r="B15" i="2" s="1"/>
  <c r="A6" i="2" a="1"/>
  <c r="A6" i="2" s="1"/>
  <c r="A17" i="2" a="1"/>
  <c r="A17" i="2" s="1"/>
  <c r="C17" i="2" s="1"/>
  <c r="A9" i="2" a="1"/>
  <c r="A9" i="2" s="1"/>
  <c r="A16" i="2" a="1"/>
  <c r="A16" i="2" s="1"/>
  <c r="C16" i="2" s="1"/>
  <c r="A10" i="2" a="1"/>
  <c r="A10" i="2" s="1"/>
  <c r="A5" i="2" a="1"/>
  <c r="A5" i="2" s="1"/>
  <c r="E5" i="2" s="1" a="1"/>
  <c r="E5" i="2" s="1"/>
  <c r="A12" i="2" a="1"/>
  <c r="A12" i="2" s="1"/>
  <c r="A3" i="2" a="1"/>
  <c r="A3" i="2" s="1"/>
  <c r="A4" i="2" a="1"/>
  <c r="A4" i="2" s="1"/>
  <c r="B4" i="2" s="1"/>
  <c r="A11" i="2" a="1"/>
  <c r="A11" i="2" s="1"/>
  <c r="B11" i="2" s="1"/>
  <c r="H18" i="2"/>
  <c r="B18" i="2"/>
  <c r="G18" i="2"/>
  <c r="E18" i="2" a="1"/>
  <c r="E18" i="2" s="1"/>
  <c r="C18" i="2"/>
  <c r="D17" i="2" a="1"/>
  <c r="D17" i="2" s="1"/>
  <c r="H17" i="2"/>
  <c r="B17" i="2"/>
  <c r="G17" i="2"/>
  <c r="E17" i="2" a="1"/>
  <c r="E17" i="2" s="1"/>
  <c r="E19" i="2" a="1"/>
  <c r="E19" i="2" s="1"/>
  <c r="D19" i="2" a="1"/>
  <c r="D19" i="2" s="1"/>
  <c r="F19" i="2" s="1"/>
  <c r="C19" i="2"/>
  <c r="H19" i="2"/>
  <c r="B19" i="2"/>
  <c r="G19" i="2"/>
  <c r="E11" i="2" a="1"/>
  <c r="B8" i="2"/>
  <c r="D8" i="2" a="1"/>
  <c r="D8" i="2" s="1"/>
  <c r="D11" i="2" a="1"/>
  <c r="B5" i="2"/>
  <c r="D5" i="2" a="1"/>
  <c r="D4" i="2" a="1"/>
  <c r="D4" i="2" s="1"/>
  <c r="E4" i="2" a="1"/>
  <c r="E4" i="2" s="1"/>
  <c r="G13" i="2"/>
  <c r="B13" i="2"/>
  <c r="E13" i="2" a="1"/>
  <c r="E13" i="2" s="1"/>
  <c r="D13" i="2" a="1"/>
  <c r="D13" i="2" s="1"/>
  <c r="C13" i="2"/>
  <c r="E16" i="2" a="1"/>
  <c r="E16" i="2" s="1"/>
  <c r="D16" i="2" a="1"/>
  <c r="D16" i="2" s="1"/>
  <c r="B16" i="2"/>
  <c r="E9" i="2" a="1"/>
  <c r="E9" i="2" s="1"/>
  <c r="B9" i="2"/>
  <c r="D9" i="2" a="1"/>
  <c r="D9" i="2" s="1"/>
  <c r="E2" i="2" a="1"/>
  <c r="C12" i="2"/>
  <c r="D15" i="2" a="1"/>
  <c r="D15" i="2" s="1"/>
  <c r="E8" i="2"/>
  <c r="D2" i="2" a="1"/>
  <c r="D12" i="2" a="1"/>
  <c r="D12" i="2" s="1"/>
  <c r="E15" i="2" a="1"/>
  <c r="E15" i="2" s="1"/>
  <c r="B2" i="2"/>
  <c r="B7" i="2"/>
  <c r="D7" i="2" a="1"/>
  <c r="B14" i="2"/>
  <c r="B12" i="2"/>
  <c r="H3" i="2"/>
  <c r="G3" i="2"/>
  <c r="C3" i="2"/>
  <c r="G14" i="2"/>
  <c r="C14" i="2"/>
  <c r="H14" i="2"/>
  <c r="E7" i="2"/>
  <c r="H7" i="2"/>
  <c r="G7" i="2"/>
  <c r="D7" i="2"/>
  <c r="C7" i="2"/>
  <c r="H6" i="2"/>
  <c r="G6" i="2"/>
  <c r="C6" i="2"/>
  <c r="G10" i="2"/>
  <c r="E11" i="2"/>
  <c r="G11" i="2"/>
  <c r="G15" i="2"/>
  <c r="C15" i="2"/>
  <c r="H15" i="2"/>
  <c r="H12" i="2"/>
  <c r="H13" i="2"/>
  <c r="C4" i="2"/>
  <c r="C5" i="2"/>
  <c r="C8" i="2"/>
  <c r="C9" i="2"/>
  <c r="G4" i="2"/>
  <c r="G8" i="2"/>
  <c r="G5" i="2"/>
  <c r="G9" i="2"/>
  <c r="H4" i="2"/>
  <c r="H5" i="2"/>
  <c r="H8" i="2"/>
  <c r="H9" i="2"/>
  <c r="G16" i="2"/>
  <c r="D5" i="2"/>
  <c r="B3" i="2" l="1"/>
  <c r="D3" i="2" a="1"/>
  <c r="D3" i="2" s="1"/>
  <c r="F3" i="2" s="1"/>
  <c r="E3" i="2" a="1"/>
  <c r="E3" i="2" s="1"/>
  <c r="F7" i="2"/>
  <c r="H16" i="2"/>
  <c r="G12" i="2"/>
  <c r="E12" i="2" a="1"/>
  <c r="E12" i="2" s="1"/>
  <c r="F12" i="2" s="1"/>
  <c r="B10" i="2"/>
  <c r="D10" i="2" a="1"/>
  <c r="D10" i="2" s="1"/>
  <c r="E10" i="2" a="1"/>
  <c r="E10" i="2" s="1"/>
  <c r="F10" i="2" s="1"/>
  <c r="D14" i="2" a="1"/>
  <c r="D14" i="2" s="1"/>
  <c r="E14" i="2" a="1"/>
  <c r="E14" i="2" s="1"/>
  <c r="F8" i="2"/>
  <c r="B6" i="2"/>
  <c r="E6" i="2" a="1"/>
  <c r="E6" i="2" s="1"/>
  <c r="F6" i="2" s="1"/>
  <c r="D6" i="2" a="1"/>
  <c r="D6" i="2" s="1"/>
  <c r="H10" i="2"/>
  <c r="H11" i="2"/>
  <c r="D2" i="2"/>
  <c r="C11" i="2"/>
  <c r="C2" i="2"/>
  <c r="D11" i="2"/>
  <c r="F11" i="2" s="1"/>
  <c r="C10" i="2"/>
  <c r="G2" i="2"/>
  <c r="E2" i="2"/>
  <c r="F17" i="2"/>
  <c r="F9" i="2"/>
  <c r="F4" i="2"/>
  <c r="F5" i="2"/>
  <c r="F13" i="2"/>
  <c r="F15" i="2"/>
  <c r="F16" i="2"/>
  <c r="E21" i="2" l="1"/>
  <c r="D21" i="2"/>
  <c r="F14" i="2"/>
  <c r="F2" i="2"/>
  <c r="F2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<sst xmlns="http://schemas.openxmlformats.org/spreadsheetml/2006/main" count="6040" uniqueCount="2121">
  <si>
    <t>ID</t>
  </si>
  <si>
    <t>Work Item Type</t>
  </si>
  <si>
    <t>Title</t>
  </si>
  <si>
    <t>Assigned To</t>
  </si>
  <si>
    <t>State</t>
  </si>
  <si>
    <t>Tags</t>
  </si>
  <si>
    <t>Planned as Incentive</t>
  </si>
  <si>
    <t>Completed Work</t>
  </si>
  <si>
    <t>Closed Date</t>
  </si>
  <si>
    <t>Iteration Path</t>
  </si>
  <si>
    <t>Employee Name</t>
  </si>
  <si>
    <t>Employee Code</t>
  </si>
  <si>
    <t>Employment Contract</t>
  </si>
  <si>
    <t>Basic Effort</t>
  </si>
  <si>
    <t>Incentive Effort</t>
  </si>
  <si>
    <t>Total Effort</t>
  </si>
  <si>
    <t>Squad Lead</t>
  </si>
  <si>
    <t>Squad Name</t>
  </si>
  <si>
    <t>Project Code</t>
  </si>
  <si>
    <t>Emad Mahfouz</t>
  </si>
  <si>
    <t>PRJ-001</t>
  </si>
  <si>
    <t>Yossef Magdy</t>
  </si>
  <si>
    <t>PRJ-002</t>
  </si>
  <si>
    <t>Ahmed Mahmoud</t>
  </si>
  <si>
    <t>Ahmed Sultan</t>
  </si>
  <si>
    <t>PRJ-003</t>
  </si>
  <si>
    <t>Asmaa Khaled</t>
  </si>
  <si>
    <t>Bassem Hessian</t>
  </si>
  <si>
    <t>PRJ-004</t>
  </si>
  <si>
    <t>Fayza Abdelsalam</t>
  </si>
  <si>
    <t>Mohamed Sherif</t>
  </si>
  <si>
    <t>PRJ-005</t>
  </si>
  <si>
    <t>Remon Ibrahim</t>
  </si>
  <si>
    <t>Salma Wael</t>
  </si>
  <si>
    <t>Taher Ayman</t>
  </si>
  <si>
    <t>Ahmed Mostafa</t>
  </si>
  <si>
    <t>Khaled Mohamed</t>
  </si>
  <si>
    <t>Mohamed Abdelkereem</t>
  </si>
  <si>
    <t>Mostafa Helal</t>
  </si>
  <si>
    <t>Rwan Osama</t>
  </si>
  <si>
    <t>Full-time</t>
  </si>
  <si>
    <t>Yehia Ibrahim</t>
  </si>
  <si>
    <t>Fighters</t>
  </si>
  <si>
    <t>Hero</t>
  </si>
  <si>
    <t>Freelancer</t>
  </si>
  <si>
    <t>Intern</t>
  </si>
  <si>
    <t>Ninga</t>
  </si>
  <si>
    <t>Project Name</t>
  </si>
  <si>
    <t>Family Revamp</t>
  </si>
  <si>
    <t>Claims Portal</t>
  </si>
  <si>
    <t>Court Management</t>
  </si>
  <si>
    <t>Legal Archive</t>
  </si>
  <si>
    <t>HR Integration</t>
  </si>
  <si>
    <t>EMPLOYEE EFFORT TRACKER — FULL SETUP INSTRUCTIONS</t>
  </si>
  <si>
    <t>Apply these instructions to a new project to replicate the full tracker.</t>
  </si>
  <si>
    <t>1. REQUIRED SHEETS</t>
  </si>
  <si>
    <t>Create 4 tabs in this order:</t>
  </si>
  <si>
    <t xml:space="preserve">  (1) consolidated_efforts  — source data exported from Azure DevOps or similar</t>
  </si>
  <si>
    <t xml:space="preserve">  (2) Employees Effort       — main tracker (built per instructions below)</t>
  </si>
  <si>
    <t xml:space="preserve">  (3) Lookup                 — reference data for dropdowns and VLOOKUPs</t>
  </si>
  <si>
    <t xml:space="preserve">  (4) Project Code           — project reference table</t>
  </si>
  <si>
    <t>2. LOOKUP TAB  (Sheet name: Lookup)</t>
  </si>
  <si>
    <t>Headers in row 1, data from row 2 onwards. Columns A–E:</t>
  </si>
  <si>
    <t xml:space="preserve">  A: Employee Name  |  B: Employee Code  |  C: Employment Contract  |  D: Squad Lead  |  E: Squad Name</t>
  </si>
  <si>
    <t>DROPDOWN VALIDATIONS (apply to data rows 2:N):</t>
  </si>
  <si>
    <t xml:space="preserve">  C — Employment Contract  →  List: Full-time, Freelancer, Intern</t>
  </si>
  <si>
    <t xml:space="preserve">  D — Squad Lead           →  List: [comma-separated squad lead names]</t>
  </si>
  <si>
    <t xml:space="preserve">  E — Squad Name           →  List: [comma-separated squad names]</t>
  </si>
  <si>
    <t>3. PROJECT CODE TAB  (Sheet name: Project Code)</t>
  </si>
  <si>
    <t>Named Excel Table: ProjectCode  |  Style: TableStyleMedium2</t>
  </si>
  <si>
    <t xml:space="preserve">  A1: Project Code  |  B1: Project Name</t>
  </si>
  <si>
    <t xml:space="preserve">  A2: PRJ-001       |  B2: Family Revamp</t>
  </si>
  <si>
    <t xml:space="preserve">  A3: PRJ-002       |  B3: Claims Portal</t>
  </si>
  <si>
    <t xml:space="preserve">  A4: PRJ-003       |  B4: Court Management</t>
  </si>
  <si>
    <t xml:space="preserve">  A5: PRJ-004       |  B5: Legal Archive</t>
  </si>
  <si>
    <t xml:space="preserve">  A6: PRJ-005       |  B6: HR Integration</t>
  </si>
  <si>
    <t xml:space="preserve">  (Replace or extend rows with real project codes as needed)</t>
  </si>
  <si>
    <t>4. EMPLOYEES EFFORT TAB — COLUMNS AND FORMULAS</t>
  </si>
  <si>
    <t>Headers row 1, columns A–I:</t>
  </si>
  <si>
    <t xml:space="preserve">  A: Employee Name | B: Employee Code | C: Employment Contract | D: Basic Effort | E: Incentive Effort | F: Total Effort | G: Squad Lead | H: Squad Name | I: Project Code</t>
  </si>
  <si>
    <t>FORMULAS — enter in row 2, copy down for each employee:</t>
  </si>
  <si>
    <t xml:space="preserve">  B — Employee Code:</t>
  </si>
  <si>
    <t xml:space="preserve">  =VLOOKUP(A2,Lookup!$A:$B,2,0)</t>
  </si>
  <si>
    <t xml:space="preserve">  C — Employment Contract:</t>
  </si>
  <si>
    <t xml:space="preserve">  =VLOOKUP(A2,Lookup!$A:$C,3,0)</t>
  </si>
  <si>
    <t xml:space="preserve">  D — Basic Effort  (rows where Planned as Incentive = 0):</t>
  </si>
  <si>
    <t xml:space="preserve">  =SUMPRODUCT((ISNUMBER(SEARCH(A2,consolidated_efforts!$D$2:$D$972)))*(consolidated_efforts!$G$2:$G$972=0)*consolidated_efforts!$H$2:$H$972)</t>
  </si>
  <si>
    <t xml:space="preserve">  E — Incentive Effort  (rows where Planned as Incentive = 1):</t>
  </si>
  <si>
    <t xml:space="preserve">  =SUMPRODUCT((ISNUMBER(SEARCH(A2,consolidated_efforts!$D$2:$D$972)))*(consolidated_efforts!$G$2:$G$972=1)*consolidated_efforts!$H$2:$H$972)</t>
  </si>
  <si>
    <t xml:space="preserve">  consolidated_efforts column mapping:</t>
  </si>
  <si>
    <t xml:space="preserve">    Col D = Assigned To         format: Full Name &lt;DOMAIN\username&gt;</t>
  </si>
  <si>
    <t xml:space="preserve">    Col G = Planned as Incentive  values: 0 (basic) or 1 (incentive)</t>
  </si>
  <si>
    <t xml:space="preserve">    Col H = Completed Work        numeric hours</t>
  </si>
  <si>
    <t xml:space="preserve">    Adjust $D$2:$D$972 to match your actual data row count.</t>
  </si>
  <si>
    <t xml:space="preserve">  F — Total Effort:</t>
  </si>
  <si>
    <t xml:space="preserve">  =D2+E2</t>
  </si>
  <si>
    <t xml:space="preserve">  G — Squad Lead:</t>
  </si>
  <si>
    <t xml:space="preserve">  =VLOOKUP(A2,Lookup!$A:$D,4,0)</t>
  </si>
  <si>
    <t xml:space="preserve">  H — Squad Name:</t>
  </si>
  <si>
    <t xml:space="preserve">  =VLOOKUP(A2,Lookup!$A:$E,5,0)</t>
  </si>
  <si>
    <t xml:space="preserve">  I — Project Code:</t>
  </si>
  <si>
    <t xml:space="preserve">  Static value per employee (e.g. PRJ-001)</t>
  </si>
  <si>
    <t xml:space="preserve">  Dropdown validation source: 'Project Code'!$A$2:$A$[N]</t>
  </si>
  <si>
    <t>TOTALS ROW (row immediately after last employee):</t>
  </si>
  <si>
    <t xml:space="preserve">  A: Total  (bold)</t>
  </si>
  <si>
    <t xml:space="preserve">  D: =SUM(D2:D[last employee row])</t>
  </si>
  <si>
    <t xml:space="preserve">  E: =SUM(E2:E[last employee row])</t>
  </si>
  <si>
    <t xml:space="preserve">  F: =SUM(F2:F[last employee row])</t>
  </si>
  <si>
    <t xml:space="preserve">  Formatting: bold font + medium top border #000000 across full row A:I</t>
  </si>
  <si>
    <t>5. COLOR FORMATTING</t>
  </si>
  <si>
    <t>Apply background color to entire row (A:I) based on Squad Name (col H).</t>
  </si>
  <si>
    <t>Contract type OVERRIDES squad color for Freelancer and Intern rows.</t>
  </si>
  <si>
    <t>SQUAD COLORS:</t>
  </si>
  <si>
    <t xml:space="preserve">  Fighters  -&gt;  #DDEBF7  (light blue)</t>
  </si>
  <si>
    <t xml:space="preserve">  Hero      -&gt;  #E2EFDA  (light green)</t>
  </si>
  <si>
    <t xml:space="preserve">  Ninga     -&gt;  #FFF2CC  (light yellow)</t>
  </si>
  <si>
    <t xml:space="preserve">  (Add new squads with a unique pastel hex color)</t>
  </si>
  <si>
    <t>CONTRACT OVERRIDE (higher priority than squad color):</t>
  </si>
  <si>
    <t xml:space="preserve">  Freelancer  -&gt;  background #FCE4D6  |  col C font: bold, color #C55A11  (orange)</t>
  </si>
  <si>
    <t xml:space="preserve">  Intern      -&gt;  background #E8D5F5  |  col C font: bold, color #7030A0  (purple)</t>
  </si>
  <si>
    <t>HEADER ROW (A1:I1):  Background #2F5496  |  Font #FFFFFF white, bold</t>
  </si>
  <si>
    <t>TOTALS ROW:          Background #D6DCE4 grey  |  Font bold  |  Top border medium #000000</t>
  </si>
  <si>
    <t>6. AUTOFILTER</t>
  </si>
  <si>
    <t>Apply Excel AutoFilter on range A1:I[last employee row].</t>
  </si>
  <si>
    <t>Primary filter columns: C (Employment Contract) | G (Squad Lead) | H (Squad Name) | I (Project Code)</t>
  </si>
  <si>
    <t>Excel UI: Select row 1 -&gt; Data tab -&gt; Filter</t>
  </si>
  <si>
    <t>7. SOURCE DATA — consolidated_efforts REQUIREMENTS</t>
  </si>
  <si>
    <t>Required columns in consolidated_efforts:</t>
  </si>
  <si>
    <t xml:space="preserve">  Col D  Assigned To           format: Full Name &lt;DOMAIN\username&gt;</t>
  </si>
  <si>
    <t xml:space="preserve">  Col G  Planned as Incentive   values: 0 = basic, 1 = incentive</t>
  </si>
  <si>
    <t xml:space="preserve">  Col H  Completed Work          numeric hours</t>
  </si>
  <si>
    <t>Employee names in col A of Employees Effort must PARTIALLY MATCH the display name</t>
  </si>
  <si>
    <t>in col D of consolidated_efforts. SEARCH() handles partial/case-insensitive matching.</t>
  </si>
  <si>
    <t>8. DROPDOWN SUMMARY</t>
  </si>
  <si>
    <t>Sheet: Lookup</t>
  </si>
  <si>
    <t xml:space="preserve">  C2:C[N]  Employment Contract  -&gt;  Full-time, Freelancer, Intern</t>
  </si>
  <si>
    <t xml:space="preserve">  D2:D[N]  Squad Lead           -&gt;  comma-separated lead names</t>
  </si>
  <si>
    <t xml:space="preserve">  E2:E[N]  Squad Name           -&gt;  comma-separated squad names</t>
  </si>
  <si>
    <t>Sheet: Employees Effort</t>
  </si>
  <si>
    <t xml:space="preserve">  I2:I[N]  Project Code  -&gt;  sourced from 'Project Code'!$A$2:$A$[N]</t>
  </si>
  <si>
    <t>— END OF SETUP INSTRUCTIONS —</t>
  </si>
  <si>
    <t>9. EMPLOYEE LIST — POPULATION RULES</t>
  </si>
  <si>
    <t>Employee names in col A of Employees Effort must be sourced exclusively from the Assigned To column (col D) of consolidated_efforts.</t>
  </si>
  <si>
    <t xml:space="preserve">  • Only add an employee row if that person has at least one record in consolidated_efforts (i.e. appears in col D at least once).</t>
  </si>
  <si>
    <t xml:space="preserve">  • Extract the display name from the Assigned To format: Full Name &lt;DOMAIN\username&gt; — use the text before the ' &lt;' delimiter as the Employee Name.</t>
  </si>
  <si>
    <t xml:space="preserve">  • De-duplicate: if the same display name appears multiple times in col D, add only one employee row.</t>
  </si>
  <si>
    <t xml:space="preserve">  • Do not add employees manually or from the Lookup tab unless they also have records in consolidated_efforts.</t>
  </si>
  <si>
    <t xml:space="preserve">  • After adding rows, confirm each employee has a non-zero Total Effort (col F); if Total Effort = 0, the name likely did not match — verify the Assigned To format and correct the Employee Name.</t>
  </si>
  <si>
    <t>UniqueNames</t>
  </si>
  <si>
    <t>Task</t>
  </si>
  <si>
    <t>BE-Implementation-User Story: US-FAM-FSPR-002-003 Register Assistant Data - 1.2.3.2 كمستخدم مسجل أريد تسجيل بيانات مساعد المحقق معه</t>
  </si>
  <si>
    <t>Ahmed Mahmoud &lt;INTERCOM\ahmed.mahmoud&gt;</t>
  </si>
  <si>
    <t>Closed</t>
  </si>
  <si>
    <t>5/3/2026 10:38:37 AM</t>
  </si>
  <si>
    <t>Enterprise-PPO-FamilyRevamp-4452\Iteration 4 - أعمال النيابات</t>
  </si>
  <si>
    <t>BE-Implementation-User Story: US-FAM-FSPR-002-008 Edit Investigated Party Data - بيانات المحقق معه</t>
  </si>
  <si>
    <t>5/3/2026 10:39:01 AM</t>
  </si>
  <si>
    <t>BE-Implementation-User Story: US-FAM-FSPR-002-009 View Investigated Party Data - بيانات المحقق معه</t>
  </si>
  <si>
    <t>5/3/2026 10:39:11 AM</t>
  </si>
  <si>
    <t>BE-Implementation-User Story: US-FAM-FSPR-002-010 Edit Assistant Data - بيانات مساعد المحقق معه</t>
  </si>
  <si>
    <t>5/3/2026 10:39:21 AM</t>
  </si>
  <si>
    <t>BE-Impementation-User Story: US-FAM-FSPR-002-011 View Assistant Data - بيانات مساعد المحقق معه</t>
  </si>
  <si>
    <t>5/3/2026 10:39:54 AM</t>
  </si>
  <si>
    <t>BE Impelementation-User Story: US-FAM-FSPR-002-004 Register Lawyers Data Screen - 1.1.1.1.1 شاشة تسجيل بيانات المحامين</t>
  </si>
  <si>
    <t>5/3/2026 10:38:48 AM</t>
  </si>
  <si>
    <t>BE Implementation-User Story: US-FAM-FSPR-002-012 Edit Lawyers Data - بيانات المحامي</t>
  </si>
  <si>
    <t>5/3/2026 10:39:31 AM</t>
  </si>
  <si>
    <t>BE Implementation-User Story: US-FAM-FSPR-002-013 View Lawyers Data - بيانات المحامي</t>
  </si>
  <si>
    <t>5/3/2026 10:39:40 AM</t>
  </si>
  <si>
    <t>Test Execution (US 43412)</t>
  </si>
  <si>
    <t>Ismail Hamada &lt;INTERCOM\Ismail.Hamada&gt;</t>
  </si>
  <si>
    <t>4/26/2026 10:53:20 AM</t>
  </si>
  <si>
    <t>Enterprise-PPO-FamilyRevamp-4452\المطالبات - Iteration 2 (Phase 2)</t>
  </si>
  <si>
    <t>Test Execution (US 43413)</t>
  </si>
  <si>
    <t>4/26/2026 10:53:40 AM</t>
  </si>
  <si>
    <t>User Story: US-FAM-FSPR-008-014 Register Notification Screen - 1.7.8.5.1 شاشة تسجيل اعلان-front end</t>
  </si>
  <si>
    <t>Asmaa Khaled &lt;INTERCOM\Asmaa.Khaled&gt;</t>
  </si>
  <si>
    <t>4/30/2026 1:52:37 PM</t>
  </si>
  <si>
    <t>BE implementation-User Story: US-FAM-FSPR-002-018 View Investigation Minutes - 1.2.1.1.1.1 شاشة محضر التحقيق</t>
  </si>
  <si>
    <t>5/3/2026 10:41:08 AM</t>
  </si>
  <si>
    <t>BE - Control Parties Data Display</t>
  </si>
  <si>
    <t>Rwan Osama &lt;INTERCOM\Rwan.Osama&gt;</t>
  </si>
  <si>
    <t>4/25/2026 9:00:29 PM</t>
  </si>
  <si>
    <t>Enterprise-PPO-FamilyRevamp-4452\الاستخراجات _ Iteration 2</t>
  </si>
  <si>
    <t>BE Iplemnation US-EXT-EMP-063 View and Manage Document Folders (حوافظ المستندات)</t>
  </si>
  <si>
    <t>Khaled Mohamed &lt;INTERCOM\Khaled.Mohamed&gt;</t>
  </si>
  <si>
    <t>5/5/2026 9:08:31 PM</t>
  </si>
  <si>
    <t>Enterprise-PPO-FamilyRevamp-4452\الاستخراجات _ Iteration 3</t>
  </si>
  <si>
    <t>BE - US-ADM-EXT-019 Manage User Roles &amp; Permissions (إدارة صلاحيات المستخدمين)</t>
  </si>
  <si>
    <t>5/13/2026 2:58:30 PM</t>
  </si>
  <si>
    <t>Enterprise-PPO-FamilyRevamp-4452\الاستخراجات _ Iteration 6</t>
  </si>
  <si>
    <t>BE - Apply General System Rules</t>
  </si>
  <si>
    <t>5/13/2026 10:56:14 AM</t>
  </si>
  <si>
    <t>BE implementationUS-EXT-EMP-064 Register New Document Folder (تسجيل بيانات حافظة جديدة)</t>
  </si>
  <si>
    <t>5/5/2026 9:08:27 PM</t>
  </si>
  <si>
    <t>BE implementation US-EXT-EMP-065 Manage Documents inside Folder (المستندات داخل الحافظة)</t>
  </si>
  <si>
    <t>5/5/2026 9:08:23 PM</t>
  </si>
  <si>
    <t>BE implementation US-EXT-EMP-066 Register New Document (تسجيل بيانات مستند جديد)</t>
  </si>
  <si>
    <t>5/5/2026 9:08:20 PM</t>
  </si>
  <si>
    <t>BE-US-EXT-EMP-040 Handle General Extract Flow (مستخرجات عامة)</t>
  </si>
  <si>
    <t>4/28/2026 10:25:34 AM</t>
  </si>
  <si>
    <t>Enterprise-PPO-FamilyRevamp-4452\الاستخراجات _ Iteration 4</t>
  </si>
  <si>
    <t>BE-US-EXT-EMP-041 Handle National ID Inquiry Extract (الدعاوى بالرقم القومي)</t>
  </si>
  <si>
    <t>Mohamed Abdelkereem &lt;INTERCOM\Mohamed.Abdelkereem&gt;</t>
  </si>
  <si>
    <t>5/3/2026 12:07:14 AM</t>
  </si>
  <si>
    <t>BE-US-EXT-EMP-042 Handle Obedience Warning Extract (إنذار طاعة)</t>
  </si>
  <si>
    <t>4/28/2026 11:13:43 PM</t>
  </si>
  <si>
    <t>BE Implementation US-EXT-EMP-026 Create New Extract Request Using Existing Data (طلب جديد بنفس البيانات)</t>
  </si>
  <si>
    <t>4/28/2026 11:12:28 PM</t>
  </si>
  <si>
    <t>BE Implementation US-EXT-EMP-027 Search Extract Requests (الاستعلام عن طلبات الاستخراج)</t>
  </si>
  <si>
    <t>4/28/2026 11:12:49 PM</t>
  </si>
  <si>
    <t>BE Implementation US-EXT-EMP-028 Search by Case / Prosecution Data (الاستعلام ببيانات القضية / طلب أعمال النيابة)</t>
  </si>
  <si>
    <t>5/3/2026 10:58:38 AM</t>
  </si>
  <si>
    <t>BE Implementation US-EXT-EMP-029 Search by Extract Request Data (الاستعلام ببيانات طلب الاستخراج)</t>
  </si>
  <si>
    <t>4/30/2026 1:33:11 AM</t>
  </si>
  <si>
    <t>BE Implementation US-EXT-EMP-030 Search Actions (الإجراءات داخل شاشة البحث)</t>
  </si>
  <si>
    <t>4/30/2026 1:33:33 AM</t>
  </si>
  <si>
    <t>BE Implementation US-EXT-EMP-032 Search Results Display (عرض نتائج البحث)</t>
  </si>
  <si>
    <t>4/30/2026 1:32:52 AM</t>
  </si>
  <si>
    <t>BE Implementation US-EXT-EMP-048 View Decision Details (استعراض القرار)</t>
  </si>
  <si>
    <t>4/28/2026 10:25:30 AM</t>
  </si>
  <si>
    <t>BE Implementation US-EXT-EMP-096 Add Extracts for Claims Inquiry (إضافة مستخرجات على الطلب)</t>
  </si>
  <si>
    <t>4/28/2026 10:25:55 AM</t>
  </si>
  <si>
    <t>BE Implementation US-EXT-EMP-101 Execution Objection Overview &amp; Logic (منطق إشكال التنفيذ)</t>
  </si>
  <si>
    <t>4/28/2026 10:25:58 AM</t>
  </si>
  <si>
    <t>BE Implementation US-EXT-EMP-102 Add Extract Type (إضافة مستخرجات على الطلب)</t>
  </si>
  <si>
    <t>4/28/2026 10:26:09 AM</t>
  </si>
  <si>
    <t>BE Implementation US-EXT-EMP-103 Search Execution Objection (البحث عن إشكال في التنفيذ)</t>
  </si>
  <si>
    <t>4/29/2026 12:12:09 AM</t>
  </si>
  <si>
    <t>BE Implementation US-EXT-EMP-104 Determine Certificate Result (تحديد نتيجة الشهادة)</t>
  </si>
  <si>
    <t>4/29/2026 12:12:12 AM</t>
  </si>
  <si>
    <t>BE Implementation US-EXT-EMP-105 Preview Execution Objection Certificate (عرض التقرير)</t>
  </si>
  <si>
    <t>5/3/2026 12:32:53 AM</t>
  </si>
  <si>
    <t>BE Implementation US-EXT-EMP-106 Print Execution Objection Certificate (طباعة المستخرج)</t>
  </si>
  <si>
    <t>5/3/2026 12:32:59 AM</t>
  </si>
  <si>
    <t>BE Implementation US-EXT-EMP-115 Cash Payment (الدفع النقدي)</t>
  </si>
  <si>
    <t>4/28/2026 10:27:08 AM</t>
  </si>
  <si>
    <t>BE implementation [45997] US-EXT-EMP-033 Extracts on Request (المستخرجات الموجودة على الطلب)</t>
  </si>
  <si>
    <t>5/12/2026 4:57:20 PM</t>
  </si>
  <si>
    <t>BE implementation - [46007] US-EXT-EMP-038 Initiate New Extract Request (بدء تسجيل طلب استخراج جديد)</t>
  </si>
  <si>
    <t>5/3/2026 12:12:49 AM</t>
  </si>
  <si>
    <t>BE implementation - [46008] US-EXT-EMP-039 Select Extract Type (اختيار نوع الاستخراج)</t>
  </si>
  <si>
    <t>5/3/2026 12:06:09 AM</t>
  </si>
  <si>
    <t>BE implementation - [46013] US-EXT-EMP-043 Search Cases / Requests (البحث في القضايا \ الطلبات)</t>
  </si>
  <si>
    <t>5/3/2026 12:07:42 AM</t>
  </si>
  <si>
    <t>BE implementation - [46014] US-EXT-EMP-044 Display Search Results (عرض نتائج البحث)</t>
  </si>
  <si>
    <t>5/3/2026 12:08:12 AM</t>
  </si>
  <si>
    <t>BE implementation - [46017] US-EXT-EMP-046 Search Case by Unified Number (البحث باستخدام الرقم الموحد للقضية)</t>
  </si>
  <si>
    <t>5/3/2026 12:08:24 AM</t>
  </si>
  <si>
    <t>BE implementation - [46018] US-EXT-EMP-047 Display Search Results (عرض نتائج البحث باستخدام الرقم الموحد)</t>
  </si>
  <si>
    <t>5/3/2026 12:08:29 AM</t>
  </si>
  <si>
    <t>BE implementation - [46060] US-EXT-EMP-082 Inquiry About Cases by National ID (الاستعلام عن الدعاوى بالرقم القومي)</t>
  </si>
  <si>
    <t>5/3/2026 12:08:41 AM</t>
  </si>
  <si>
    <t>BE implementation - [46061] US-EXT-EMP-083 Add Extracts to National ID Inquiry Request (إضافة مستخرجات على الطلب)</t>
  </si>
  <si>
    <t>5/14/2026 7:59:07 PM</t>
  </si>
  <si>
    <t>BE implementation [46062] US-EXT-EMP-084 National ID Inquiry Screen (شاشة الاستعلام عن الدعاوى بالرقم القومي)</t>
  </si>
  <si>
    <t>5/3/2026 12:11:37 AM</t>
  </si>
  <si>
    <t>BE implementation - [46063] US-EXT-EMP-085 Display Search Results and Generate Reports (نتائج البحث وإصدار التقارير)</t>
  </si>
  <si>
    <t>5/3/2026 12:41:54 AM</t>
  </si>
  <si>
    <t>BE implementation - [46064] US-EXT-EMP-086 Preview National ID Inquiry Report (عرض التقرير)</t>
  </si>
  <si>
    <t>5/3/2026 12:41:56 AM</t>
  </si>
  <si>
    <t>BE implementation  - [46065] US-EXT-EMP-087 Issue and Print National ID Inquiry Report</t>
  </si>
  <si>
    <t>5/3/2026 12:41:57 AM</t>
  </si>
  <si>
    <t>BE implementation - [46075] US-EXT-EMP-095 Overview of Claims Inquiry (نظرة عامة على الاستعلام عن المطالبات)</t>
  </si>
  <si>
    <t>5/3/2026 12:11:57 AM</t>
  </si>
  <si>
    <t>BE implementation - [46077] US-EXT-EMP-097 Search General Claims (البحث عن مطالبات عامة)</t>
  </si>
  <si>
    <t>5/3/2026 12:12:08 AM</t>
  </si>
  <si>
    <t>BE implementation - [46078] US-EXT-EMP-098 Search Claims by Case (البحث عن مطالبات في قضية معينة)</t>
  </si>
  <si>
    <t>5/3/2026 12:12:12 AM</t>
  </si>
  <si>
    <t>BE implementation - [46079] US-EXT-EMP-099 Display Claims Table (عرض جدول المطالبات)</t>
  </si>
  <si>
    <t>5/3/2026 12:12:21 AM</t>
  </si>
  <si>
    <t>BE implementation - [46080] US-EXT-EMP-100 Issue Claims Extract (إصدار مستخرج المطالبات)</t>
  </si>
  <si>
    <t>5/3/2026 12:43:46 AM</t>
  </si>
  <si>
    <t>BE Implementation-User Story: US-FAM-FSPR-002-005 Register Power of Attorney Data - 1.2.4.4 كموظف نيابة, أريد تسجيل بيانات التوكيل</t>
  </si>
  <si>
    <t>4/30/2026 4:50:31 PM</t>
  </si>
  <si>
    <t>BE Implementaation-User Story: US-FAM-FSPR-002-014 Edit Power of Attorney Data - بيانات التوكيل</t>
  </si>
  <si>
    <t>BE Implementation -User Story: US-FAM-FSPR-002-015 View Power of Attorney Data - بيانات التوكيل</t>
  </si>
  <si>
    <t>User Story: US-FAM-FSPR-008-020 View Notification Screen - شاشة تسجيل اعلان</t>
  </si>
  <si>
    <t>4/30/2026 1:54:18 PM</t>
  </si>
  <si>
    <t>FE- apply add extract request data</t>
  </si>
  <si>
    <t>Ahmed Mostafa &lt;INTERCOM\Ahmed.Mostafa&gt;</t>
  </si>
  <si>
    <t>4/24/2026 2:29:10 PM</t>
  </si>
  <si>
    <t>FE - Handle Applicant Type</t>
  </si>
  <si>
    <t>4/25/2026 11:59:37 PM</t>
  </si>
  <si>
    <t>4/24/2026 2:29:19 PM</t>
  </si>
  <si>
    <t>4/25/2026 9:37:21 PM</t>
  </si>
  <si>
    <t>FE - Add Party Data</t>
  </si>
  <si>
    <t>4/25/2026 9:37:28 PM</t>
  </si>
  <si>
    <t>FE - Save Extract Request</t>
  </si>
  <si>
    <t>4/25/2026 9:37:35 PM</t>
  </si>
  <si>
    <t>User Story: US-FAM-FSPR-008-021 Edit New Investigated Party Screen - شاشة تسجيل بيانات محقق معه جديد-FE</t>
  </si>
  <si>
    <t>4/30/2026 1:54:34 PM</t>
  </si>
  <si>
    <t>FE - INTEGRATION User Story: US-FAM-FSPR-002-002 Register Investigated Party Data - 1.2.2.2 كمستخدم مسجل أريد تسجيل بيانات المحقق معه</t>
  </si>
  <si>
    <t>Taher Ayman &lt;INTERCOM\Taher.Ayman&gt;</t>
  </si>
  <si>
    <t>4/30/2026 4:46:11 PM</t>
  </si>
  <si>
    <t>FE - INTEGRATION User Story: US-FAM-FSPR-002-004 Register Lawyers Data Screen - 1.1.1.1.1 شاشة تسجيل بيانات المحامين</t>
  </si>
  <si>
    <t>FE - INTEGRATION User Story: US-FAM-FSPR-002-005 Register Power of Attorney Data - 1.2.4.4 كموظف نيابة, أريد تسجيل بيانات التوكيل</t>
  </si>
  <si>
    <t>5/3/2026 11:59:28 PM</t>
  </si>
  <si>
    <t>FE - INTEGRATION User Story: US-FAM-FSPR-002-008 Edit Investigated Party Data - بيانات المحقق معه</t>
  </si>
  <si>
    <t>5/3/2026 11:59:31 PM</t>
  </si>
  <si>
    <t>FE - INTEGRATION User Story: US-FAM-FSPR-002-009 View Investigated Party Data - بيانات المحقق معه</t>
  </si>
  <si>
    <t>5/3/2026 11:59:36 PM</t>
  </si>
  <si>
    <t>FE - INTEGRATION User Story: US-FAM-FSPR-002-010 Edit Assistant Data - بيانات مساعد المحقق معه</t>
  </si>
  <si>
    <t>5/3/2026 11:59:39 PM</t>
  </si>
  <si>
    <t>FE - INTEGRATION User Story: US-FAM-FSPR-002-011 View Assistant Data - بيانات مساعد المحقق معه</t>
  </si>
  <si>
    <t>5/3/2026 11:59:42 PM</t>
  </si>
  <si>
    <t>FE - INTEGRATION User Story: US-FAM-FSPR-002-012 Edit Lawyers Data - بيانات المحامي</t>
  </si>
  <si>
    <t>5/3/2026 11:59:44 PM</t>
  </si>
  <si>
    <t>FE - INTEGRATION User Story: US-FAM-FSPR-002-013 View Lawyers Data - بيانات المحامي</t>
  </si>
  <si>
    <t>FE- Handle Applicant Type = بصفته</t>
  </si>
  <si>
    <t>4/29/2026 5:21:30 PM</t>
  </si>
  <si>
    <t>FE - US-EXT-EMP-054 Add Power of Attorney Data (بيانات التوكيل)</t>
  </si>
  <si>
    <t>4/27/2026 11:29:28 PM</t>
  </si>
  <si>
    <t>FE - US-EXT-EMP-058 Add Extract to Request (إضافة مستخرج على الطلب)</t>
  </si>
  <si>
    <t>4/25/2026 9:37:58 PM</t>
  </si>
  <si>
    <t>FE - US-EXT-EMP-061 Review Fees and Complete Payment (استعراض الرسوم وإتمام عملية السداد)</t>
  </si>
  <si>
    <t>5/13/2026 10:59:46 AM</t>
  </si>
  <si>
    <t>FE - US-EXT-EMP-062 Display Fees List (قائمة الرسوم)</t>
  </si>
  <si>
    <t>5/13/2026 10:59:55 AM</t>
  </si>
  <si>
    <t>FE - US-EXT-EMP-063 View and Manage Document Folders (حوافظ المستندات)</t>
  </si>
  <si>
    <t>5/10/2026 2:24:11 AM</t>
  </si>
  <si>
    <t>FE - US-EXT-EMP-064 Register New Document Folder (تسجيل بيانات حافظة جديدة)</t>
  </si>
  <si>
    <t>5/10/2026 2:24:25 AM</t>
  </si>
  <si>
    <t>FE - US-EXT-EMP-065 Manage Documents inside Folder (المستندات داخل الحافظة)</t>
  </si>
  <si>
    <t>5/10/2026 2:24:36 AM</t>
  </si>
  <si>
    <t>FE - US-EXT-EMP-066 Register New Document (تسجيل بيانات مستند جديد)</t>
  </si>
  <si>
    <t>5/10/2026 2:24:44 AM</t>
  </si>
  <si>
    <t>FE - US-EXT-EMP-026 Create New Extract Request Using Existing Data (طلب جديد بنفس البيانات)</t>
  </si>
  <si>
    <t>5/9/2026 7:42:37 PM</t>
  </si>
  <si>
    <t>FE - US-EXT-EMP-027 Search Extract Requests (الاستعلام عن طلبات الاستخراج)</t>
  </si>
  <si>
    <t>5/4/2026 9:51:44 AM</t>
  </si>
  <si>
    <t>FE - US-EXT-EMP-028 Search by Case / Prosecution Data (الاستعلام ببيانات القضية / طلب أعمال النيابة)</t>
  </si>
  <si>
    <t>4/30/2026 11:40:17 PM</t>
  </si>
  <si>
    <t>FE - US-EXT-EMP-029 Search by Extract Request Data (الاستعلام ببيانات طلب الاستخراج)</t>
  </si>
  <si>
    <t>5/5/2026 3:46:42 PM</t>
  </si>
  <si>
    <t>FE - US-EXT-EMP-030 Search Actions (الإجراءات داخل شاشة البحث)</t>
  </si>
  <si>
    <t>5/5/2026 3:47:00 PM</t>
  </si>
  <si>
    <t>FE - US-EXT-EMP-031 Call POS Procedure (ضبط المدفوعة)</t>
  </si>
  <si>
    <t>Yossef Magdy &lt;INTERCOM\Yossef.Magdy&gt;</t>
  </si>
  <si>
    <t>5/18/2026 10:23:30 AM</t>
  </si>
  <si>
    <t>FE - US-EXT-EMP-032 Search Results Display (عرض نتائج البحث)</t>
  </si>
  <si>
    <t>5/5/2026 3:47:15 PM</t>
  </si>
  <si>
    <t>FE - US-EXT-EMP-033 Extracts on Request (المستخرجات الموجودة على الطلب)</t>
  </si>
  <si>
    <t>5/13/2026 11:11:07 AM</t>
  </si>
  <si>
    <t>FE - US-EXT-EMP-038 Initiate New Extract Request (بدء تسجيل طلب استخراج جديد)</t>
  </si>
  <si>
    <t>4/30/2026 11:40:42 PM</t>
  </si>
  <si>
    <t>FE - US-EXT-EMP-039 Select Extract Type (اختيار نوع الاستخراج)</t>
  </si>
  <si>
    <t>4/30/2026 11:41:04 PM</t>
  </si>
  <si>
    <t>FE - US-EXT-EMP-040 Handle General Extract Flow (مستخرجات عامة)</t>
  </si>
  <si>
    <t>5/2/2026 2:43:40 AM</t>
  </si>
  <si>
    <t>FE - US-EXT-EMP-041 Handle National ID Inquiry Extract (الدعاوى بالرقم القومي)</t>
  </si>
  <si>
    <t>4/30/2026 11:41:30 PM</t>
  </si>
  <si>
    <t>FE - US-EXT-EMP-042 Handle Obedience Warning Extract (إنذار طاعة)</t>
  </si>
  <si>
    <t>5/4/2026 9:46:55 AM</t>
  </si>
  <si>
    <t>FE - US-EXT-EMP-043 Search Cases / Requests (البحث في القضايا \ الطلبات)</t>
  </si>
  <si>
    <t>4/30/2026 11:42:07 PM</t>
  </si>
  <si>
    <t>FE - US-EXT-EMP-044 Display Search Results (عرض نتائج البحث)</t>
  </si>
  <si>
    <t>4/30/2026 11:42:30 PM</t>
  </si>
  <si>
    <t>FE - US-EXT-EMP-046 Search Case by Unified Number (البحث باستخدام الرقم الموحد للقضية)</t>
  </si>
  <si>
    <t>4/30/2026 11:43:08 PM</t>
  </si>
  <si>
    <t>FE - US-EXT-EMP-047 Display Search Results (عرض نتائج البحث باستخدام الرقم الموحد)</t>
  </si>
  <si>
    <t>4/30/2026 11:43:22 PM</t>
  </si>
  <si>
    <t>FE - US-EXT-EMP-048 View Decision Details (استعراض القرار)</t>
  </si>
  <si>
    <t>5/2/2026 2:44:53 AM</t>
  </si>
  <si>
    <t>FE - US-EXT-EMP-076 Search for Objection to Obedience Warning Case (البحث عن قضية اعتراض على إنذار بالطاعة)</t>
  </si>
  <si>
    <t>5/4/2026 9:47:14 AM</t>
  </si>
  <si>
    <t>FE - US-EXT-EMP-077 Add Extracts to Obedience Warning Request (إضافة مستخرجات على الطلب)</t>
  </si>
  <si>
    <t>5/4/2026 9:47:31 AM</t>
  </si>
  <si>
    <t>FE - US-EXT-EMP-078 Search Screen for Objection to Obedience Warning Case (شاشة البحث عن قضية اعتراض على إنذار الطاعة)</t>
  </si>
  <si>
    <t>5/4/2026 9:47:45 AM</t>
  </si>
  <si>
    <t>FE - US-EXT-EMP-079 Retrieve Wife Data from Original Case (استرجاع بيانات الزوجة من القضية الأصلية)</t>
  </si>
  <si>
    <t>5/4/2026 9:48:04 AM</t>
  </si>
  <si>
    <t>FE - US-EXT-EMP-080 Preview Obedience Warning Extract Report (عرض التقرير)</t>
  </si>
  <si>
    <t>5/8/2026 4:22:24 PM</t>
  </si>
  <si>
    <t>FE - US-EXT-EMP-081 Print Obedience Warning Extract (طباعة المستخرج)</t>
  </si>
  <si>
    <t>5/8/2026 4:22:36 PM</t>
  </si>
  <si>
    <t>FE - US-EXT-EMP-082 Inquiry About Cases by National ID (الاستعلام عن الدعاوى بالرقم القومي)</t>
  </si>
  <si>
    <t>4/30/2026 11:43:44 PM</t>
  </si>
  <si>
    <t>FE - US-EXT-EMP-083 Add Extracts to National ID Inquiry Request (إضافة مستخرجات على الطلب)</t>
  </si>
  <si>
    <t>4/30/2026 11:43:59 PM</t>
  </si>
  <si>
    <t>FE - US-EXT-EMP-084 National ID Inquiry Screen (شاشة الاستعلام عن الدعاوى بالرقم القومي)</t>
  </si>
  <si>
    <t>4/30/2026 11:44:12 PM</t>
  </si>
  <si>
    <t>FE - US-EXT-EMP-085 Display Search Results and Generate Reports (نتائج البحث وإصدار التقارير)</t>
  </si>
  <si>
    <t>5/8/2026 4:23:05 PM</t>
  </si>
  <si>
    <t>FE - US-EXT-EMP-086 Preview National ID Inquiry Report (عرض التقرير)</t>
  </si>
  <si>
    <t>5/8/2026 4:23:35 PM</t>
  </si>
  <si>
    <t>FE - US-EXT-EMP-087 Issue and Print National ID Inquiry Report</t>
  </si>
  <si>
    <t>5/8/2026 4:23:44 PM</t>
  </si>
  <si>
    <t>FE - US-EXT-EMP-088 Guardianship Certificate Business Logic (منطق شهادة الحجر)</t>
  </si>
  <si>
    <t>5/4/2026 9:48:18 AM</t>
  </si>
  <si>
    <t>FE - US-EXT-EMP-089 Determine Certificate Type (تحديد نوع الشهادة)</t>
  </si>
  <si>
    <t>5/4/2026 9:48:33 AM</t>
  </si>
  <si>
    <t>FE - US-EXT-EMP-090 Search for Guardianship Certificate (البحث عن شهادة بالحجر)</t>
  </si>
  <si>
    <t>5/4/2026 9:48:52 AM</t>
  </si>
  <si>
    <t>FE - US-EXT-EMP-091 Add Extracts to Guardianship Request (إضافة مستخرجات على الطلب)</t>
  </si>
  <si>
    <t>5/4/2026 9:49:08 AM</t>
  </si>
  <si>
    <t>FE - US-EXT-EMP-092 Display Search Results and Issue Certificate</t>
  </si>
  <si>
    <t>5/4/2026 9:49:38 AM</t>
  </si>
  <si>
    <t>FE - US-EXT-EMP-093 Preview Guardianship Certificate (عرض التقرير)</t>
  </si>
  <si>
    <t>5/8/2026 4:23:54 PM</t>
  </si>
  <si>
    <t>FE - US-EXT-EMP-094 Issue Guardianship Certificate (إصدار المستخرج)</t>
  </si>
  <si>
    <t>5/8/2026 4:24:16 PM</t>
  </si>
  <si>
    <t>FE - US-EXT-EMP-095 Overview of Claims Inquiry (نظرة عامة على الاستعلام عن المطالبات)</t>
  </si>
  <si>
    <t>4/30/2026 11:44:30 PM</t>
  </si>
  <si>
    <t>FE - US-EXT-EMP-096 Add Extracts for Claims Inquiry (إضافة مستخرجات على الطلب)</t>
  </si>
  <si>
    <t>5/2/2026 2:45:38 AM</t>
  </si>
  <si>
    <t>FE - US-EXT-EMP-097 Search General Claims (البحث عن مطالبات عامة)</t>
  </si>
  <si>
    <t>4/30/2026 11:44:47 PM</t>
  </si>
  <si>
    <t>FE - US-EXT-EMP-098 Search Claims by Case (البحث عن مطالبات في قضية معينة)</t>
  </si>
  <si>
    <t>4/30/2026 11:45:00 PM</t>
  </si>
  <si>
    <t>FE - US-EXT-EMP-099 Display Claims Table (عرض جدول المطالبات)</t>
  </si>
  <si>
    <t>4/30/2026 11:45:15 PM</t>
  </si>
  <si>
    <t>FE - US-EXT-EMP-100 Issue Claims Extract (إصدار مستخرج المطالبات)</t>
  </si>
  <si>
    <t>5/8/2026 4:24:26 PM</t>
  </si>
  <si>
    <t>FE - US-EXT-EMP-101 Execution Objection Overview &amp; Logic (منطق إشكال التنفيذ)</t>
  </si>
  <si>
    <t>5/2/2026 2:46:35 AM</t>
  </si>
  <si>
    <t>FE - US-EXT-EMP-102 Add Extract Type (إضافة مستخرجات على الطلب)</t>
  </si>
  <si>
    <t>5/2/2026 2:46:57 AM</t>
  </si>
  <si>
    <t>FE - US-EXT-EMP-103 Search Execution Objection (البحث عن إشكال في التنفيذ)</t>
  </si>
  <si>
    <t>5/2/2026 2:47:49 AM</t>
  </si>
  <si>
    <t>FE - US-EXT-EMP-104 Determine Certificate Result (تحديد نتيجة الشهادة)</t>
  </si>
  <si>
    <t>5/2/2026 2:48:30 AM</t>
  </si>
  <si>
    <t>FE - US-EXT-EMP-105 Preview Execution Objection Certificate (عرض التقرير)</t>
  </si>
  <si>
    <t>5/8/2026 4:24:36 PM</t>
  </si>
  <si>
    <t>FE - US-EXT-EMP-106 Print Execution Objection Certificate (طباعة المستخرج)</t>
  </si>
  <si>
    <t>5/8/2026 4:24:47 PM</t>
  </si>
  <si>
    <t>FE - US-EXT-EMP-115 Cash Payment (الدفع النقدي)</t>
  </si>
  <si>
    <t>5/2/2026 2:48:51 AM</t>
  </si>
  <si>
    <t>FE - US-EXT-EMP-034 Search by Temporary Request Number (البحث بدلالة رقم الطلب المؤقت)</t>
  </si>
  <si>
    <t>Bassem Hessian &lt;INTERCOM\Bassem.Hessian&gt;</t>
  </si>
  <si>
    <t>5/10/2026 2:18:06 AM</t>
  </si>
  <si>
    <t>Enterprise-PPO-FamilyRevamp-4452\الاستخراجات _ Iteration 5</t>
  </si>
  <si>
    <t>FE - US-EXT-EMP-035 Print Search Results (طباعة نتيجة الاستعلام)</t>
  </si>
  <si>
    <t>5/10/2026 9:28:11 PM</t>
  </si>
  <si>
    <t>FE - US-EXT-EMP-036 Print Issued Extracts (طباعة الاستخراجات المصدرة على القضية)</t>
  </si>
  <si>
    <t>5/12/2026 10:51:17 AM</t>
  </si>
  <si>
    <t>FE - US-EXT-EMP-037 Track Extract Issuance (تقرير تتبع إصدار المستخرج)</t>
  </si>
  <si>
    <t>5/12/2026 10:51:29 AM</t>
  </si>
  <si>
    <t>FE - US-EXT-EMP-045 View Decision Details (استعراض القرار)</t>
  </si>
  <si>
    <t>5/9/2026 7:43:24 PM</t>
  </si>
  <si>
    <t>FE - US-EXT-EMP-049 View Case Header (عرض بيانات القضية)</t>
  </si>
  <si>
    <t>5/13/2026 11:10:00 AM</t>
  </si>
  <si>
    <t>FE - US-EXT-EMP-059 Preview Extract Report (عرض التقرير)</t>
  </si>
  <si>
    <t>5/9/2026 1:14:55 PM</t>
  </si>
  <si>
    <t>FE - US-EXT-EMP-060 Issue Extract (إصدار المستخرج)</t>
  </si>
  <si>
    <t>5/13/2026 11:09:55 AM</t>
  </si>
  <si>
    <t>FE - US-EXT-EMP-067 Control Search Results by النيابة Rules</t>
  </si>
  <si>
    <t>5/13/2026 5:37:28 PM</t>
  </si>
  <si>
    <t>FE - US-EXT-EMP-068 Control Applicant Role Behavior</t>
  </si>
  <si>
    <t>5/12/2026 10:52:33 AM</t>
  </si>
  <si>
    <t>FE - US-EXT-EMP-069 Enforce One-Time Extraction Rule</t>
  </si>
  <si>
    <t>5/12/2026 10:53:09 AM</t>
  </si>
  <si>
    <t>FE - US-EXT-EMP-070 Control One-Time Issue Button Usage (A9)</t>
  </si>
  <si>
    <t>5/12/2026 10:53:20 AM</t>
  </si>
  <si>
    <t>FE - US-EXT-EMP-071 Preview Final Extract Before Official Issuance (A10 / A11)</t>
  </si>
  <si>
    <t>5/12/2026 10:53:35 AM</t>
  </si>
  <si>
    <t>FE - US-EXT-EMP-072 Prevent Issuance When Unpaid Claims Exist</t>
  </si>
  <si>
    <t>5/12/2026 10:53:46 AM</t>
  </si>
  <si>
    <t>FE - US-EXT-EMP-073 Prevent Issuance When Appeal Exists</t>
  </si>
  <si>
    <t>5/12/2026 10:53:54 AM</t>
  </si>
  <si>
    <t>FE - US-EXT-EMP-074 Validate Judgment Is in Favor of Applicant</t>
  </si>
  <si>
    <t>5/12/2026 10:54:10 AM</t>
  </si>
  <si>
    <t>FE - US-EXT-EMP-075 Generate Temporary Request Number</t>
  </si>
  <si>
    <t>5/14/2026 2:21:28 PM</t>
  </si>
  <si>
    <t>FE - US-EXT-EMP-114 Payment Methods Overview (نظرة عامة على طرق الدفع)</t>
  </si>
  <si>
    <t>5/8/2026 5:38:32 PM</t>
  </si>
  <si>
    <t>FE - US-EXT-EMP-119 Payment Data Logging (تسجيل بيانات الدفع)</t>
  </si>
  <si>
    <t>5/8/2026 5:37:53 PM</t>
  </si>
  <si>
    <t>FE - US-EXT-EMP-120 Post-Payment Execution (تنفيذ بعد السداد)</t>
  </si>
  <si>
    <t>5/13/2026 11:10:23 AM</t>
  </si>
  <si>
    <t>FE - US-EXT-EMP-129 Images and Certificates Count Statistics (إحصائية عدد الصور والشهادات)</t>
  </si>
  <si>
    <t>5/12/2026 4:40:03 AM</t>
  </si>
  <si>
    <t>FE - US-EXT-EMP-128 Unpaid Requests Statistics (إحصائية الطلبات غير المسددة)</t>
  </si>
  <si>
    <t>5/12/2026 4:40:18 AM</t>
  </si>
  <si>
    <t>FE - US-EXT-EMP-127 Extraction Statistics Report (إحصائية الاستخراجات)</t>
  </si>
  <si>
    <t>5/12/2026 4:40:30 AM</t>
  </si>
  <si>
    <t>US-EXT-EMP-126 Generate Extraction Statistics Filters (شاشة إحصائية الاستخراجات)</t>
  </si>
  <si>
    <t>5/10/2026 9:13:43 PM</t>
  </si>
  <si>
    <t>FE - US-EXT-EMP-125 Generate Detailed Report (تفصيلي مبالغ الاستخراج)</t>
  </si>
  <si>
    <t>5/12/2026 4:38:49 AM</t>
  </si>
  <si>
    <t>FE - US-EXT-EMP-124 Generate Summary Report (إجمالي مبالغ الاستخراج)</t>
  </si>
  <si>
    <t>5/12/2026 4:38:30 AM</t>
  </si>
  <si>
    <t>FE - US-EXT-EMP-123 Generate Paid Amounts Report (إنشاء تقرير المبالغ المسددة)</t>
  </si>
  <si>
    <t>5/12/2026 4:38:11 AM</t>
  </si>
  <si>
    <t>FE - US-EXT-EMP-122 Display Register Report Result (نتيجة تقرير دفتر الصور والشهادات)</t>
  </si>
  <si>
    <t>5/12/2026 4:37:58 AM</t>
  </si>
  <si>
    <t>FE - US-EXT-EMP-121 Print Images and Certificates Register (طباعة دفتر الصور والشهادات)</t>
  </si>
  <si>
    <t>5/12/2026 4:37:38 AM</t>
  </si>
  <si>
    <t>BE implementation-US-FAM-FSPR-002-011 Register Agent Data - شاشة تسجيل بيانات الوكيل</t>
  </si>
  <si>
    <t>4/28/2026 10:30:07 AM</t>
  </si>
  <si>
    <t>Enterprise-PPO-FamilyRevamp-4452\Iteration 3 - أعمال النيابات</t>
  </si>
  <si>
    <t>BE implementation-US-FAM-FSPR-002-029 View Agent Data - شاشة استعراض بيانات الوكيل</t>
  </si>
  <si>
    <t>4/28/2026 10:30:17 AM</t>
  </si>
  <si>
    <t>BE implementation-US-FAM-FSPR-002-030 Edit Agent Data - شاشة تعديل بيانات الوكيل</t>
  </si>
  <si>
    <t>4/28/2026 10:30:28 AM</t>
  </si>
  <si>
    <t>46053 - BE - US-EXT-EMP-076 Search for Objection to Obedience Warning Case (البحث عن قضية اعتراض على إنذار بالطاعة)</t>
  </si>
  <si>
    <t>4/26/2026 5:21:30 PM</t>
  </si>
  <si>
    <t>46054 - BE -  US-EXT-EMP-077 Add Extracts to Obedience Warning Request (إضافة مستخرجات على الطلب)</t>
  </si>
  <si>
    <t>4/26/2026 5:23:07 PM</t>
  </si>
  <si>
    <t>46055 - BE - US-EXT-EMP-078 Search Screen for Objection to Obedience Warning Case (شاشة البحث عن قضية اعتراض على إنذار الطاعة)</t>
  </si>
  <si>
    <t>4/26/2026 5:29:05 PM</t>
  </si>
  <si>
    <t>46056 - BE - US-EXT-EMP-079 Retrieve Wife Data from Original Case (استرجاع بيانات الزوجة من القضية الأصلية)</t>
  </si>
  <si>
    <t>4/26/2026 5:35:04 PM</t>
  </si>
  <si>
    <t>46057 - BE - US-EXT-EMP-080 Preview Obedience Warning Extract Report (عرض التقرير)</t>
  </si>
  <si>
    <t>5/3/2026 1:55:18 PM</t>
  </si>
  <si>
    <t>46058 - BE - US-EXT-EMP-081 Print Obedience Warning Extract (طباعة المستخرج)</t>
  </si>
  <si>
    <t>5/3/2026 1:55:24 PM</t>
  </si>
  <si>
    <t>46067 - BE - US-EXT-EMP-088 Guardianship Certificate Business Logic (منطق شهادة الحجر)</t>
  </si>
  <si>
    <t>4/26/2026 5:40:58 PM</t>
  </si>
  <si>
    <t>46068 - BE - US-EXT-EMP-089 Determine Certificate Type (تحديد نوع الشهادة)</t>
  </si>
  <si>
    <t>4/26/2026 5:41:52 PM</t>
  </si>
  <si>
    <t>46069 - BE -  US-EXT-EMP-090 Search for Guardianship Certificate (البحث عن شهادة بالحجر)</t>
  </si>
  <si>
    <t>4/26/2026 5:43:22 PM</t>
  </si>
  <si>
    <t>46070 - BE - US-EXT-EMP-091 Add Extracts to Guardianship Request (إضافة مستخرجات على الطلب)</t>
  </si>
  <si>
    <t>4/26/2026 5:44:41 PM</t>
  </si>
  <si>
    <t>46071 - BE -  US-EXT-EMP-092 Display Search Results and Issue Certificate</t>
  </si>
  <si>
    <t>4/26/2026 5:45:54 PM</t>
  </si>
  <si>
    <t>46072 - BE - US-EXT-EMP-093 Preview Guardianship Certificate (عرض التقرير)</t>
  </si>
  <si>
    <t>5/3/2026 1:55:32 PM</t>
  </si>
  <si>
    <t>46073 - BE - US-EXT-EMP-094 Issue Guardianship Certificate (إصدار المستخرج)</t>
  </si>
  <si>
    <t>5/3/2026 1:55:37 PM</t>
  </si>
  <si>
    <t>User Story: US-FAM-FSPR-003-001 Register Prosecution Disposition Memo Screen - شاشة تحرير مذكرة تصرف النيابة 1.3.2.1.1</t>
  </si>
  <si>
    <t>5/3/2026 10:52:18 AM</t>
  </si>
  <si>
    <t>BE Implementation-User Story: US-FAM-FSPR-006-002 Register Property Data for Historical Request Screen - 1.1.3.3.1 شاشة تسجيل بيانات العين لطلب تاريخي</t>
  </si>
  <si>
    <t>5/4/2026 1:38:19 PM</t>
  </si>
  <si>
    <t>Enterprise-PPO-FamilyRevamp-4452\Iteration 5 - أعمال النيابات</t>
  </si>
  <si>
    <t>BE implementation-User Story: US-FAM-FSPR-006-003 Link Requests Screen - 1.1.3.4.1 شاشة ربط الطلبات</t>
  </si>
  <si>
    <t>5/4/2026 1:38:31 PM</t>
  </si>
  <si>
    <t>BE implementation-User Story: US-FAM-FSPR-006-001 Register Basic Data for Historical Request Screen - 1.1.3.2.1 شاشة تسجيل البيانات الأساسية لطلب أعمال نيابات تاريخي</t>
  </si>
  <si>
    <t>5/4/2026 1:38:02 PM</t>
  </si>
  <si>
    <t>BE implementation-User Story: US-FAM-FSPR-006-004 Link Cases to Request Screen - 1.1.3.5.1 شاشة ربط القضايا بالطلب الجاري تسجيله</t>
  </si>
  <si>
    <t>5/4/2026 1:38:39 PM</t>
  </si>
  <si>
    <t>45983 - BE - US-EXT-EMP-023 Filter Tasks by Request Details (فلترة تفصيلية للطلبات)</t>
  </si>
  <si>
    <t>4/28/2026 11:10:57 PM</t>
  </si>
  <si>
    <t>BE- US-EXT-EMP-031 Call POS Procedure (ضبط المدفوعة)</t>
  </si>
  <si>
    <t>5/3/2026 12:31:28 AM</t>
  </si>
  <si>
    <t>https://azuredevops2022.intercom.com.eg/DefaultCollection/Enterprise-PPO-FamilyRevamp-4452/_workitems/edit/17630</t>
  </si>
  <si>
    <t>5/3/2026 10:40:14 AM</t>
  </si>
  <si>
    <t>Enterprise-PPO-FamilyRevamp-4452\Fees</t>
  </si>
  <si>
    <t>https://azuredevops2022.intercom.com.eg/DefaultCollection/Enterprise-PPO-FamilyRevamp-4452/_workitems/edit/17628</t>
  </si>
  <si>
    <t>5/3/2026 11:48:44 AM</t>
  </si>
  <si>
    <t>https://azuredevops2022.intercom.com.eg/DefaultCollection/Enterprise-PPO-FamilyRevamp-4452/_workitems/edit/17627</t>
  </si>
  <si>
    <t>5/3/2026 11:43:19 AM</t>
  </si>
  <si>
    <t>https://azuredevops2022.intercom.com.eg/DefaultCollection/Enterprise-PPO-FamilyRevamp-4452/_workitems/edit/17626</t>
  </si>
  <si>
    <t>5/3/2026 11:43:27 AM</t>
  </si>
  <si>
    <t>37090 - FE - US-FAM-SETTINGS-PD-020-002 Register Administrative Decisions Sequence - شاشة تسجيل قائمة مسلسل طلبات أعمال النيابات 5.12.20.2.2</t>
  </si>
  <si>
    <t>Salma Wael &lt;INTERCOM\Salma.Wael&gt;</t>
  </si>
  <si>
    <t>4/29/2026 8:05:51 PM</t>
  </si>
  <si>
    <t>Enterprise-PPO-FamilyRevamp-4452\Iteration 2 - أعمال النيابات - الإعدادات</t>
  </si>
  <si>
    <t>37089 FE User Story 37089: US-FAM-SETTINGS-PD-020-001 Search Administrative Decisions Sequences - شاشة البحث في قائمة مسلسل الصادر والوارد للنيابات 5.12.20.2.1</t>
  </si>
  <si>
    <t>4/29/2026 8:05:36 PM</t>
  </si>
  <si>
    <t>US-FAM-SETTINGS-PD-018-001 Manage Prosecution Members Screen - شاشة إدارة أعضاء النيابة 5.12.18.2.1 -BE Implementation</t>
  </si>
  <si>
    <t>Mohamed Sherif &lt;INTERCOM\Mohamed.Sherif&gt;</t>
  </si>
  <si>
    <t>4/29/2026 11:40:21 AM</t>
  </si>
  <si>
    <t>FE Implementation</t>
  </si>
  <si>
    <t>Ahmed Sultan &lt;INTERCOM\Ahmed.Sultan&gt;</t>
  </si>
  <si>
    <t>5/4/2026 11:54:40 AM</t>
  </si>
  <si>
    <t>FE Integration</t>
  </si>
  <si>
    <t>5/4/2026 11:54:44 AM</t>
  </si>
  <si>
    <t>US-FAM-SETTINGS-PD-020-002 Register Administrative Decisions Sequence - شاشة تسجيل قائمة مسلسل طلبات أعمال النيابات 5.12.20.2.2- BE Implementation</t>
  </si>
  <si>
    <t>4/29/2026 7:24:00 PM</t>
  </si>
  <si>
    <t>US-FAM-SETTINGS-PD-020-002 Register Administrative Decisions Sequence - شاشة تسجيل قائمة مسلسل طلبات أعمال النيابات 5.12.20.2.2- BE Integration</t>
  </si>
  <si>
    <t>4/30/2026 11:56:27 AM</t>
  </si>
  <si>
    <t>(US-FAM-RPG-007-001) Search and View Extraction Fees for Guardianship of Person Cases - شاشة البحث في قائمة رسوم استخراجات دعوى الولاية على النفس - BE Implementation</t>
  </si>
  <si>
    <t>Fayza Abdelsalam &lt;INTERCOM\Fayza.Abdelsalam&gt;</t>
  </si>
  <si>
    <t>5/4/2026 12:18:04 AM</t>
  </si>
  <si>
    <t>User Story: US-FAM-FSPR-002-013 View Lawyers Data - بيانات المحامي-BE Integration issues</t>
  </si>
  <si>
    <t>4/29/2026 6:05:21 PM</t>
  </si>
  <si>
    <t>User Story: US-FAM-FSPR-002-015 View Power of Attorney Data - بيانات التوكيل-BE Integration</t>
  </si>
  <si>
    <t>4/29/2026 6:26:14 PM</t>
  </si>
  <si>
    <t>FE - INTEGRATION User Story: US-FAM-FSPR-002-018 View Investigation Minutes - 1.2.1.1.1.1 شاشة محضر التحقيق</t>
  </si>
  <si>
    <t>5/4/2026 12:00:01 AM</t>
  </si>
  <si>
    <t>FE - INTEGRATION User Story: US-FAM-FSPR-002-015 View Power of Attorney Data - بيانات التوكيل</t>
  </si>
  <si>
    <t>(US-FAM-FSFS-008-001) Add Extraction Fee Rule - شاشة تسجيل قائمة رسوم استخراجات دعوى الولاية على النفس - BE Implementation</t>
  </si>
  <si>
    <t>5/4/2026 12:18:37 AM</t>
  </si>
  <si>
    <t xml:space="preserve">40138 FE User Story 40138: US-FAM-FSPR-002-019 Direct Prosecution Business Request - شاشة توجيه طلب اعمال النيابات </t>
  </si>
  <si>
    <t>4/30/2026 5:51:00 PM</t>
  </si>
  <si>
    <t>US-FAM-FSPR-002-019 Direct Prosecution Business Request - شاشة توجيه طلب اعمال النيابات - BE Integration</t>
  </si>
  <si>
    <t>4/30/2026 2:16:49 PM</t>
  </si>
  <si>
    <t>User Story: US-FAM-FSPR-008-015 Register New Investigated Party Screen - 1.7.8.6.1 شاشة تسجيل بيانات محقق معه جديد-FE</t>
  </si>
  <si>
    <t>4/30/2026 1:53:29 PM</t>
  </si>
  <si>
    <t>User Story: US-FAM-FSPR-008-019 Edit Notification Screen - شاشة تسجيل اعلان-FE</t>
  </si>
  <si>
    <t>4/30/2026 1:53:59 PM</t>
  </si>
  <si>
    <t>User Story: US-FAM-FSPR-008-022 View New Investigated Party Screen - شاشة تسجيل بيانات محقق معه جديد-FE</t>
  </si>
  <si>
    <t>4/30/2026 1:55:12 PM</t>
  </si>
  <si>
    <t>BE implementation-User Story: US-FAM-FSPR-004-001 Search Administrative Decisions Screen - 1.4.1.1.1 شاشة البحث عن القرارات الادارية</t>
  </si>
  <si>
    <t>5/4/2026 11:08:25 AM</t>
  </si>
  <si>
    <t>BE implementation-User Story: US-FAM-FSPR-004-002 Register Administrative Decisions Screen - 1.4.1.2.1 شاشة تسجيل القرارات الادارية</t>
  </si>
  <si>
    <t>5/4/2026 11:08:35 AM</t>
  </si>
  <si>
    <t>BE implementation-User Story: US-FAM-FSPR-004-003 Edit Administrative Decisions Screen - شاشة تعديل القرارات الادارية</t>
  </si>
  <si>
    <t>5/4/2026 11:08:41 AM</t>
  </si>
  <si>
    <t>BE implementation-User Story: US-FAM-FSPR-004-004 View Administrative Decisions Screen - شاشة استعراض القرارات الادارية</t>
  </si>
  <si>
    <t>5/4/2026 11:08:48 AM</t>
  </si>
  <si>
    <t>BE - US-EXT-EMP-034 Search by Temporary Request Number (البحث بدلالة رقم الطلب المؤقت)</t>
  </si>
  <si>
    <t>5/8/2026 2:28:46 PM</t>
  </si>
  <si>
    <t>BE - US-EXT-EMP-072 Prevent Issuance When Unpaid Claims Exist</t>
  </si>
  <si>
    <t>5/5/2026 9:05:06 PM</t>
  </si>
  <si>
    <t>BE - US-EXT-EMP-074 Validate Judgment Is in Favor of Applicant</t>
  </si>
  <si>
    <t>5/3/2026 11:23:21 AM</t>
  </si>
  <si>
    <t>BE - US-EXT-EMP-116 Card Payment (الدفع الإلكتروني)</t>
  </si>
  <si>
    <t>5/5/2026 9:04:46 PM</t>
  </si>
  <si>
    <t>BE - US-EXT-EMP-067 Control Search Results by النيابة Rules</t>
  </si>
  <si>
    <t>5/9/2026 2:13:22 PM</t>
  </si>
  <si>
    <t>BE - US-EXT-EMP-068 Control Applicant Role Behavior</t>
  </si>
  <si>
    <t>5/5/2026 9:09:55 PM</t>
  </si>
  <si>
    <t>BE - US-EXT-EMP-069 Enforce One-Time Extraction Rule</t>
  </si>
  <si>
    <t>5/7/2026 1:24:46 AM</t>
  </si>
  <si>
    <t>BE - US-EXT-EMP-070 Control One-Time Issue Button Usage (A9)</t>
  </si>
  <si>
    <t>5/7/2026 1:25:18 AM</t>
  </si>
  <si>
    <t>Technical Leadership - Iteration #1</t>
  </si>
  <si>
    <t>Mostafa Helal &lt;INTERCOM\Mostafa.Helal&gt;</t>
  </si>
  <si>
    <t>5/6/2026 10:46:43 AM</t>
  </si>
  <si>
    <t>Enterprise-PPO-FamilyRevamp-4452\Design Phase الاستخراجات</t>
  </si>
  <si>
    <t>Technical Leadership - Iteration #2</t>
  </si>
  <si>
    <t>5/6/2026 10:47:03 AM</t>
  </si>
  <si>
    <t>Technical Leadership - Iteration #3</t>
  </si>
  <si>
    <t>5/12/2026 11:47:56 PM</t>
  </si>
  <si>
    <t>Technical Leadership - Iteration #4</t>
  </si>
  <si>
    <t>5/12/2026 11:48:51 PM</t>
  </si>
  <si>
    <t>Technical Leadership - Iteration #5</t>
  </si>
  <si>
    <t>5/14/2026 2:43:48 PM</t>
  </si>
  <si>
    <t>Bug Fixing - Iteration #3</t>
  </si>
  <si>
    <t>5/16/2026 3:30:34 PM</t>
  </si>
  <si>
    <t>Bug Fixing - Iteration #4</t>
  </si>
  <si>
    <t>5/19/2026 3:15:07 PM</t>
  </si>
  <si>
    <t>US-FAM-FSPR-002-029 View Agent Data - شاشة استعراض بيانات الوكيل-FE</t>
  </si>
  <si>
    <t>5/5/2026 11:31:35 PM</t>
  </si>
  <si>
    <t>BE implementation [46015] US-EXT-EMP-045 View Decision Details (استعراض القرار)</t>
  </si>
  <si>
    <t>5/6/2026 8:30:38 AM</t>
  </si>
  <si>
    <t>BE implementation [46032] US-EXT-EMP-059 Preview Extract Report (عرض التقرير)</t>
  </si>
  <si>
    <t>5/6/2026 8:30:48 AM</t>
  </si>
  <si>
    <t>BE implementation [46033] US-EXT-EMP-060 Issue Extract (إصدار المستخرج)</t>
  </si>
  <si>
    <t>5/9/2026 5:16:22 PM</t>
  </si>
  <si>
    <t>BE implementation [46097] US-EXT-EMP-114 Payment Methods Overview (نظرة عامة على طرق الدفع)</t>
  </si>
  <si>
    <t>5/8/2026 5:25:40 PM</t>
  </si>
  <si>
    <t>BE implementation [46102] US-EXT-EMP-119 Payment Data Logging (تسجيل بيانات الدفع)</t>
  </si>
  <si>
    <t>5/4/2026 12:39:48 AM</t>
  </si>
  <si>
    <t>BE implementation [46103] US-EXT-EMP-120 Post-Payment Execution (تنفيذ بعد السداد)</t>
  </si>
  <si>
    <t>5/10/2026 1:38:20 PM</t>
  </si>
  <si>
    <t xml:space="preserve">BE- Implementing updates to the SRS for referrals and procedures  </t>
  </si>
  <si>
    <t>5/3/2026 11:27:59 PM</t>
  </si>
  <si>
    <t>Enterprise-PPO-FamilyRevamp-4452\Design Phase - UCM</t>
  </si>
  <si>
    <t>FE - Support in merge requests , solve conflicts and adjustments in api's with modifications in integration</t>
  </si>
  <si>
    <t>5/3/2026 11:58:55 PM</t>
  </si>
  <si>
    <t>FE - INTEGRATION US-FAM-FSPR-002-041 View Request Direction Status - شاشة استعراض حالة توجيه الطلب</t>
  </si>
  <si>
    <t>5/4/2026 12:01:43 AM</t>
  </si>
  <si>
    <t>FE - INTEGRATION 40138 User Story 40138: US-FAM-FSPR-002-019 Direct Prosecution Business Request - شاشة توجيه طلب اعمال النيابات</t>
  </si>
  <si>
    <t>5/4/2026 12:03:18 AM</t>
  </si>
  <si>
    <t>(US-FAM-FSFS-008-002) View Extraction Fee Rule Details - شاشة استعراض قائمة رسوم استخراجات دعوى الولاية على النفس - BE Implementation</t>
  </si>
  <si>
    <t>5/4/2026 12:19:30 AM</t>
  </si>
  <si>
    <t>: (US-FAM-FSFS-008-003) Edit Extraction Fee Rule - شاشة تعديل قائمة رسوم استخراجات دعوى الولاية على النفس - BE Implementation</t>
  </si>
  <si>
    <t>5/4/2026 12:20:33 AM</t>
  </si>
  <si>
    <t>US-FAM-FSPR-001-001 Search for Prosecution Business Requests -  شاشة محددات الاستعلام عن طلبات أعمال النيابات - BE Implementation</t>
  </si>
  <si>
    <t>5/4/2026 12:24:08 AM</t>
  </si>
  <si>
    <t>5/10/2026 6:35:21 AM</t>
  </si>
  <si>
    <t>US-FAM-FSPR-001-003 Inquiry by Lawyer Data - شاشة الاستعلام ببيانات المحامي - BE Implementation</t>
  </si>
  <si>
    <t>5/4/2026 12:25:12 AM</t>
  </si>
  <si>
    <t>US-FAM-FSPR-001-005 Inquiry by Power of Attorney Data - شاشة الاستعلام ببيانات الوكالة - BE Implementation</t>
  </si>
  <si>
    <t>5/4/2026 12:27:35 AM</t>
  </si>
  <si>
    <t>US-FAM-FSPR-001-007 Inquiry by Parties Data - شاشة الاستعلام ببيانات الأطراف - BE Implementation</t>
  </si>
  <si>
    <t>5/13/2026 3:12:41 PM</t>
  </si>
  <si>
    <t>BE Implementation-User Story: US-FAM-FSPR-006-006 Register Parties on Historical Request Screen - 1.1.3.5.2 شاشة تسجيل بيانات الأطراف على الطلب التاريخي</t>
  </si>
  <si>
    <t>5/4/2026 1:38:53 PM</t>
  </si>
  <si>
    <t>BE-Implementation-User Story: US-FAM-FSPR-006-007 Register Phone Numbers for Party Screen - 1.1.3.5.3 شاشة تسجيل أرقام الهاتف للطرف بالطلب التاريخي</t>
  </si>
  <si>
    <t>5/4/2026 1:39:03 PM</t>
  </si>
  <si>
    <t>BE implementation-User Story: US-FAM-FSPR-006-008 Register Agent Data for Historical Request Screen - شاشة تسجيل بيانات الوكيل لطلب تاريخي 1.1.3.5.4</t>
  </si>
  <si>
    <t>5/4/2026 1:39:40 PM</t>
  </si>
  <si>
    <t>BE Implementation-User Story: US-FAM-FSPR-006-009 Register Power of Attorney for Historical Request Screen - 1.1.3.5.5 شاشة تسجيل بيانات التوكيل بطلب تاريخي</t>
  </si>
  <si>
    <t>5/4/2026 1:40:03 PM</t>
  </si>
  <si>
    <t>BE Implementation-User Story: US-FAM-FSPR-006-010 Register Lawyers for Historical Request Screen - 1.1.3.5.6 شاشة تسجيل بيانات المحامين بطلب تاريخي</t>
  </si>
  <si>
    <t>5/5/2026 3:11:12 PM</t>
  </si>
  <si>
    <t>BE Implementation-User Story: US-FAM-FSPR-006-011 Register Police Report for Historical Request Screen - 1.1.3.6.1 شاشة تسجيل بيانات محضر الشرطة بطلب تاريخي</t>
  </si>
  <si>
    <t>5/5/2026 3:11:15 PM</t>
  </si>
  <si>
    <t>BE Implementation -User Story: US-FAM-FSPR-006-015 Save Historical Prosecution Request - 1.6.1.10 كمستخدم صاحب صلاحية, أريد حفظ طلب اعمال النيابات التاريخي</t>
  </si>
  <si>
    <t>5/5/2026 3:11:17 PM</t>
  </si>
  <si>
    <t>BE Implementation-User Story: US-FAM-FSPR-006-016 Route Historical Prosecution Request Screen - 1.1.3.6.5 شاشة توجيه طلب اعمال النيابات التاريخي</t>
  </si>
  <si>
    <t>5/5/2026 3:11:19 PM</t>
  </si>
  <si>
    <t>BE implementation-User Story: US-FAM-FSPR-006-018 Edit Basic Data for Historical Request - شاشة تسجيل البيانات الأساسية لطلب أعمال نيابات تاريخي</t>
  </si>
  <si>
    <t>5/5/2026 3:11:22 PM</t>
  </si>
  <si>
    <t>BE Implementation-User Story: US-FAM-FSPR-006-019 View Basic Data for Historical Request - شاشة تسجيل البيانات الأساسية لطلب أعمال نيابات تاريخي</t>
  </si>
  <si>
    <t>5/5/2026 3:11:25 PM</t>
  </si>
  <si>
    <t>BE implementation-User Story: US-FAM-FSPR-006-020 Edit Property Data for Historical Request - شاشة تسجيل بيانات العين لطلب تاريخي</t>
  </si>
  <si>
    <t>5/5/2026 3:11:27 PM</t>
  </si>
  <si>
    <t>BE implementation-User Story: US-FAM-FSPR-006-021 View Property Data for Historical Request - شاشة تسجيل بيانات العين لطلب تاريخي</t>
  </si>
  <si>
    <t>5/5/2026 3:11:29 PM</t>
  </si>
  <si>
    <t>BE Implementation -User Story: US-FAM-FSPR-006-022 Edit Parties on Historical Request - شاشة تسجيل بيانات الأطراف على الطلب التاريخي</t>
  </si>
  <si>
    <t>5/5/2026 3:11:31 PM</t>
  </si>
  <si>
    <t>BE implementation-User Story: US-FAM-FSPR-006-023 View Parties on Historical Request - شاشة تسجيل بيانات الأطراف على الطلب التاريخي</t>
  </si>
  <si>
    <t>5/5/2026 3:11:34 PM</t>
  </si>
  <si>
    <t>BE implementation-User Story: US-FAM-FSPR-006-024 Edit Phone Numbers for Party - شاشة تسجيل أرقام الهاتف للطرف بالطلب التاريخي</t>
  </si>
  <si>
    <t>5/5/2026 3:11:36 PM</t>
  </si>
  <si>
    <t>BE implementation -User Story: US-FAM-FSPR-006-025 View Phone Numbers for Party - شاشة تسجيل أرقام الهاتف للطرف بالطلب التاريخي</t>
  </si>
  <si>
    <t>5/5/2026 3:11:38 PM</t>
  </si>
  <si>
    <t>BE implementation-User Story: US-FAM-FSPR-006-026 Edit Agent Data for Historical Request - شاشة تسجيل بيانات الوكيل لطلب تاريخي</t>
  </si>
  <si>
    <t>5/5/2026 3:11:41 PM</t>
  </si>
  <si>
    <t>BE implementation -User Story: US-FAM-FSPR-006-027 View Agent Data for Historical Request - شاشة تسجيل بيانات الوكيل لطلب تاريخي</t>
  </si>
  <si>
    <t>5/5/2026 3:11:44 PM</t>
  </si>
  <si>
    <t>BE implementation-User Story: US-FAM-FSPR-006-028 Edit Power of Attorney for Historical Request Screen - شاشة تسجيل بيانات التوكيل بطلب تاريخي</t>
  </si>
  <si>
    <t>5/5/2026 3:11:46 PM</t>
  </si>
  <si>
    <t>BE implementation-User Story: US-FAM-FSPR-006-029 View POA for Historical Request - شاشة تسجيل بيانات التوكيل بطلب تاريخي</t>
  </si>
  <si>
    <t>5/5/2026 3:11:49 PM</t>
  </si>
  <si>
    <t>BE Implementation-User Story: US-FAM-FSPR-006-030 Edit Lawyers for Historical Request Screen - شاشة تسجيل بيانات المحامين بطلب تاريخي</t>
  </si>
  <si>
    <t>5/5/2026 3:11:51 PM</t>
  </si>
  <si>
    <t>BE Implementation - User Story: US-FAM-FSPR-006-030 Edit Lawyers for Historical Request Screen - شاشة تسجيل بيانات المحامين بطلب تاريخي</t>
  </si>
  <si>
    <t>5/5/2026 3:11:55 PM</t>
  </si>
  <si>
    <t>BE implementation-User Story: US-FAM-FSPR-006-031 View Lawyers for Historical Request Screen - شاشة تسجيل بيانات المحامين بطلب تاريخي</t>
  </si>
  <si>
    <t>5/5/2026 3:11:58 PM</t>
  </si>
  <si>
    <t>BE implementation -User Story: US-FAM-FSPR-006-038 View Linked Requests - 1.1.3.4.1 شاشة ربط الطلبات</t>
  </si>
  <si>
    <t>5/5/2026 3:12:03 PM</t>
  </si>
  <si>
    <t>BE implementation-User Story: US-FAM-FSPR-006-039 View Linked Cases - 1.1.3.5.1 شاشة ربط القضايا بالطلب الجاري تسجيله</t>
  </si>
  <si>
    <t>5/5/2026 3:12:05 PM</t>
  </si>
  <si>
    <t>FE - ENHANCEMENT AND MODIFICATIONS IN US-FAM-FSPR-002-001 Search for a Request by Temporary Request Number - شاشة البحث عن طلب أعمال النيابات باستخدام رقم الطلب المؤقت , رقم الطلب و رقم موحد للطلب</t>
  </si>
  <si>
    <t>5/4/2026 10:50:16 AM</t>
  </si>
  <si>
    <t>BE implemnetation-User Story: US-FAM-FSPR-006-033 View Police Report for Historical Request - شاشة تسجيل بيانات محضر الشرطة بطلب تاريخي</t>
  </si>
  <si>
    <t>5/5/2026 3:12:01 PM</t>
  </si>
  <si>
    <t>FE ENHANCEMENT AND MODIFICATIONS In User Story: US-FAM-FSPR-002-005 Register Power of Attorney Data - 1.2.4.4 كموظف نيابة, أريد تسجيل بيانات التوكيل</t>
  </si>
  <si>
    <t>5/4/2026 10:51:30 AM</t>
  </si>
  <si>
    <t>BE implementation-User Story: US-FAM-FSPR-006-005 Select Party from Linked Cases and Requests - 1.6.1.1 كمستخدم مسجل أريد اختيار الطرف من قائمة الأطراف المسجلين بالقضايا والطلبات المرتبطة</t>
  </si>
  <si>
    <t>5/4/2026 1:38:44 PM</t>
  </si>
  <si>
    <t>44829 FE User Story 44829: User Story: US-FAM-FSPR-006-001 Register Basic Data for Historical Request Screen - 1.1.3.2.1 شاشة تسجيل البيانات الأساسية لطلب أعمال نيابات تاريخي</t>
  </si>
  <si>
    <t>5/4/2026 4:36:29 PM</t>
  </si>
  <si>
    <t xml:space="preserve">-View View Prosecution Members Screen - Implementation and Integration </t>
  </si>
  <si>
    <t>5/4/2026 11:59:06 AM</t>
  </si>
  <si>
    <t>Edit Edit Prosecution Members Screen</t>
  </si>
  <si>
    <t>5/4/2026 12:00:52 PM</t>
  </si>
  <si>
    <t xml:space="preserve">Manage Prosecution Office Procedures Screen - Implementation and Integration  </t>
  </si>
  <si>
    <t>5/4/2026 12:02:36 PM</t>
  </si>
  <si>
    <t>View View Prosecution Office Procedures Screen</t>
  </si>
  <si>
    <t>5/4/2026 12:03:31 PM</t>
  </si>
  <si>
    <t>Edit Edit Prosecution Office Procedures Screen - integration</t>
  </si>
  <si>
    <t>5/4/2026 12:04:52 PM</t>
  </si>
  <si>
    <t>Integration with POS with Whole System - Dev Front</t>
  </si>
  <si>
    <t>5/18/2026 10:23:19 AM</t>
  </si>
  <si>
    <t>Enterprise-PPO-FamilyRevamp-4452\أعمال المأموريات و المعاونة - Iteration 4</t>
  </si>
  <si>
    <t xml:space="preserve">UI - Frontend with some static logic and adjustments in code User Story: US-FAM-FSPR-001-001 Inbox Screen - 1.1.2.1.1.1 شاشة مهامي </t>
  </si>
  <si>
    <t>5/4/2026 3:17:24 PM</t>
  </si>
  <si>
    <t>Enterprise-PPO-FamilyRevamp-4452\Iteration 6 - أعمال النيابات</t>
  </si>
  <si>
    <t>https://azuredevops2022.intercom.com.eg/DefaultCollection/Enterprise-PPO-FamilyRevamp-4452/_workitems/edit/44823</t>
  </si>
  <si>
    <t>5/5/2026 9:22:41 AM</t>
  </si>
  <si>
    <t>https://azuredevops2022.intercom.com.eg/DefaultCollection/Enterprise-PPO-FamilyRevamp-4452/_workitems/edit/44824</t>
  </si>
  <si>
    <t>5/5/2026 9:22:51 AM</t>
  </si>
  <si>
    <t>https://azuredevops2022.intercom.com.eg/DefaultCollection/Enterprise-PPO-FamilyRevamp-4452/_workitems/edit/44825</t>
  </si>
  <si>
    <t>5/5/2026 9:22:57 AM</t>
  </si>
  <si>
    <t>https://azuredevops2022.intercom.com.eg/DefaultCollection/Enterprise-PPO-FamilyRevamp-4452/_workitems/edit/44822/</t>
  </si>
  <si>
    <t>5/5/2026 9:23:00 AM</t>
  </si>
  <si>
    <t xml:space="preserve">40107 FE User Story 40107: US-FAM-FSPR-001-005 Inquiry by Power of Attorney Data - شاشة الاستعلام ببيانات الوكالة </t>
  </si>
  <si>
    <t>5/5/2026 2:40:17 PM</t>
  </si>
  <si>
    <t xml:space="preserve">40108 FE User Story 40108: US-FAM-FSPR-001-006 Inquiry by Police Report Data - شاشة الاستعلام ببيانات محضر الشرطة </t>
  </si>
  <si>
    <t>5/5/2026 2:40:26 PM</t>
  </si>
  <si>
    <t>FE-Implementation  User Story 40104: US-FAM-FSPR-001-002 Inquiry by Linked Request Data - شاشة الاستعلام ببيانات الطلب المرتبط</t>
  </si>
  <si>
    <t>5/6/2026 11:17:32 AM</t>
  </si>
  <si>
    <t>US-FAM-FSPR-001-002 Inquiry by Linked Request Data - شاشة الاستعلام ببيانات الطلب المرتبط - BE Implementation</t>
  </si>
  <si>
    <t>5/11/2026 1:02:02 AM</t>
  </si>
  <si>
    <t>User Story 40105: US-FAM-FSPR-001-003 Inquiry by Lawyer Data - شاشة الاستعلام ببيانات المحامي - FE Implementation</t>
  </si>
  <si>
    <t>5/5/2026 5:23:14 PM</t>
  </si>
  <si>
    <t>Review user stories</t>
  </si>
  <si>
    <t>5/14/2026 2:41:51 PM</t>
  </si>
  <si>
    <t>5/14/2026 2:42:17 PM</t>
  </si>
  <si>
    <t>Review User Stories - DEV</t>
  </si>
  <si>
    <t>5/5/2026 4:52:48 PM</t>
  </si>
  <si>
    <t>technical design</t>
  </si>
  <si>
    <t>5/5/2026 4:54:57 PM</t>
  </si>
  <si>
    <t>Generate UI</t>
  </si>
  <si>
    <t>5/5/2026 5:36:09 PM</t>
  </si>
  <si>
    <t>Bug Fixing - Iteration #1</t>
  </si>
  <si>
    <t>5/6/2026 10:47:42 AM</t>
  </si>
  <si>
    <t>Bug Fixing - Iteration #2</t>
  </si>
  <si>
    <t>5/6/2026 10:48:03 AM</t>
  </si>
  <si>
    <t>studying the new iteration workthrough -User Story: US-FAM-FSPR-001-001 Inbox Screen - 1.1.2.1.1.1 شاشة مهامي</t>
  </si>
  <si>
    <t>5/10/2026 10:58:58 AM</t>
  </si>
  <si>
    <t>Meet With Remon to discuss about SRS and know the workflow of iteration 5</t>
  </si>
  <si>
    <t>5/6/2026 10:42:24 AM</t>
  </si>
  <si>
    <t>Meeting in technical issues with reviewing userstories in iteration with Discussion about the integration</t>
  </si>
  <si>
    <t>5/6/2026 11:19:40 AM</t>
  </si>
  <si>
    <t>User Story 40109: US-FAM-FSPR-001-007 Inquiry by Parties Data - شاشة الاستعلام ببيانات الأطراف-FE Implementation</t>
  </si>
  <si>
    <t>5/6/2026 4:25:03 PM</t>
  </si>
  <si>
    <t>User Story 40110: US-FAM-FSPR-001-008 Inquiry by Partial Prosecution Data at the College - شاشة الاستعلام ببيانات النيابة الجزئية لدى الكلية-FE Implementation</t>
  </si>
  <si>
    <t>5/6/2026 9:32:23 PM</t>
  </si>
  <si>
    <t xml:space="preserve">studying new iteration workflow  - User Story: US-FAM-FSPR-001-001 Inbox Screen - 1.1.2.1.1.1 شاشة مهامي </t>
  </si>
  <si>
    <t>5/6/2026 11:59:25 AM</t>
  </si>
  <si>
    <t xml:space="preserve">techincal meeting with remon  User Story: US-FAM-FSPR-001-001 Inbox Screen - 1.1.2.1.1.1 شاشة مهامي </t>
  </si>
  <si>
    <t>5/10/2026 12:43:12 PM</t>
  </si>
  <si>
    <t>BA Meeting Iteration 6 WF</t>
  </si>
  <si>
    <t>5/11/2026 3:58:36 PM</t>
  </si>
  <si>
    <t xml:space="preserve">study-the-SRS-and-workthrough-User Story: US-FAM-FSPR-001-001 Inbox Screen - 1.1.2.1.1.1 شاشة مهامي </t>
  </si>
  <si>
    <t>5/10/2026 1:08:18 PM</t>
  </si>
  <si>
    <t xml:space="preserve">تعديل رسوم الاستخراجات </t>
  </si>
  <si>
    <t>5/6/2026 12:12:15 PM</t>
  </si>
  <si>
    <t>BE- US-EXT-EMP-075 Generate Temporary Request Number</t>
  </si>
  <si>
    <t>5/8/2026 8:22:19 PM</t>
  </si>
  <si>
    <t>BE-US-EXT-EMP-071 Preview Final Extract Before Official Issuance (A10 / A11)</t>
  </si>
  <si>
    <t>5/6/2026 12:14:32 PM</t>
  </si>
  <si>
    <t>BE - US-EXT-EMP-036 Print Issued Extracts (طباعة الاستخراجات المصدرة على القضية)</t>
  </si>
  <si>
    <t>5/7/2026 3:54:23 PM</t>
  </si>
  <si>
    <t>FE-UCM - الحوافظ و المستندت</t>
  </si>
  <si>
    <t>5/10/2026 2:31:01 AM</t>
  </si>
  <si>
    <t>BE -US-EXT-EMP-049 View Case Header (عرض بيانات القضية)</t>
  </si>
  <si>
    <t>5/9/2026 5:12:02 PM</t>
  </si>
  <si>
    <t>BE-US-EXT-EMP-037 Track Extract Issuance (تقرير تتبع إصدار المستخرج)</t>
  </si>
  <si>
    <t>5/9/2026 5:11:13 PM</t>
  </si>
  <si>
    <t>US-EXT-EMP-067 Control Search Results by النيابة Rules</t>
  </si>
  <si>
    <t>5/10/2026 2:18:12 AM</t>
  </si>
  <si>
    <t>US-EXT-EMP-068 Control Applicant Role Behavior</t>
  </si>
  <si>
    <t>5/10/2026 2:18:23 AM</t>
  </si>
  <si>
    <t>US-EXT-EMP-069 Enforce One-Time Extraction Rule</t>
  </si>
  <si>
    <t>5/10/2026 2:18:16 AM</t>
  </si>
  <si>
    <t>https://azuredevops2022.intercom.com.eg/DefaultCollection/Enterprise-PPO-FamilyRevamp-4452/_workitems/edit/46048</t>
  </si>
  <si>
    <t>5/10/2026 2:18:25 AM</t>
  </si>
  <si>
    <t>https://azuredevops2022.intercom.com.eg/DefaultCollection/Enterprise-PPO-FamilyRevamp-4452/_workitems/edit/46050</t>
  </si>
  <si>
    <t>5/10/2026 2:18:19 AM</t>
  </si>
  <si>
    <t>2 hour meeting with backend team</t>
  </si>
  <si>
    <t>5/8/2026 10:41:57 PM</t>
  </si>
  <si>
    <t>BE US-EXT-EMP-061 Review Fees and Complete Payment (استعراض الرسوم وإتمام عملية السداد)</t>
  </si>
  <si>
    <t>5/10/2026 1:18:07 AM</t>
  </si>
  <si>
    <t>BE US-EXT-EMP-062 Display Fees List (قائمة الرسوم)</t>
  </si>
  <si>
    <t>5/10/2026 1:18:13 AM</t>
  </si>
  <si>
    <t>US-EXT-EMP-121 Print Images and Certificates Register (طباعة دفتر الصور والشهادات)</t>
  </si>
  <si>
    <t>5/10/2026 2:24:19 AM</t>
  </si>
  <si>
    <t>US-EXT-EMP-122 Display Register Report Result (نتيجة تقرير دفتر الصور والشهادات)</t>
  </si>
  <si>
    <t>5/13/2026 11:05:30 AM</t>
  </si>
  <si>
    <t>meet with team to discuss about srs</t>
  </si>
  <si>
    <t>5/10/2026 6:36:58 AM</t>
  </si>
  <si>
    <t>Search for Prosecution Business Requests -  شاشة محددات الاستعلام عن طلبات أعمال النيابات</t>
  </si>
  <si>
    <t>5/10/2026 6:40:07 AM</t>
  </si>
  <si>
    <t xml:space="preserve">BE Implementation [46105] US-EXT-EMP-121 Print Images and Certificates Register (طباعة دفتر الصور والشهادات)
</t>
  </si>
  <si>
    <t>5/12/2026 10:05:06 AM</t>
  </si>
  <si>
    <t>BE Implementation [46106]US-EXT-EMP-122 Display Register Report Result (نتيجة تقرير دفتر الصور والشهادات)</t>
  </si>
  <si>
    <t>5/12/2026 10:05:07 AM</t>
  </si>
  <si>
    <t>BE Implementation [46108]US-EَXT-EMP-123 Generate Paid Amounts Report (إنشاء تقرير المبالغ المسددة)</t>
  </si>
  <si>
    <t>5/12/2026 10:05:10 AM</t>
  </si>
  <si>
    <t>BE Implementation [46109] US-EXT-EMP-124 Generate Summary Report (إجمالي مبالغ الاستخراج)</t>
  </si>
  <si>
    <t>5/12/2026 10:05:12 AM</t>
  </si>
  <si>
    <t>BE Implementation [46110] US-EXT-EMP-125 Generate Detailed Report (تفصيلي مبالغ الاستخراج)</t>
  </si>
  <si>
    <t>5/12/2026 10:05:14 AM</t>
  </si>
  <si>
    <t>BE Implementation [46112] US-EXT-EMP-126 Generate Extraction Statistics Filters (شاشة إحصائية الاستخراجات)</t>
  </si>
  <si>
    <t>5/12/2026 10:05:16 AM</t>
  </si>
  <si>
    <t>BE Implementation [46113] US-EXT-EMP-127 Extraction Statistics Report (إحصائية الاستخراجات)</t>
  </si>
  <si>
    <t>5/12/2026 10:05:18 AM</t>
  </si>
  <si>
    <t>BE Implementation [46114] US-EXT-EMP-128 Unpaid Requests Statistics (إحصائية الطلبات غير المسددة)</t>
  </si>
  <si>
    <t>5/12/2026 10:05:20 AM</t>
  </si>
  <si>
    <t>BE Implementation [46115] US-EXT-EMP-129 Images and Certificates Count Statistics (إحصائية عدد الصور والشهادات)</t>
  </si>
  <si>
    <t>5/12/2026 10:05:21 AM</t>
  </si>
  <si>
    <t>FE - INTEGRATION User Story: US-FAM-FSPR-001-001 Inbox Screen - 1.1.2.1.1.1 شاشة مهامي and UI Generation component by ai</t>
  </si>
  <si>
    <t>5/10/2026 11:11:25 AM</t>
  </si>
  <si>
    <t>46001 -BE - US-EXT-EMP-035 Print Search Results (طباعة نتيجة الاستعلام)</t>
  </si>
  <si>
    <t>5/10/2026 11:37:11 AM</t>
  </si>
  <si>
    <t>Review the technical design workflow comparing to the business&amp;test APIs</t>
  </si>
  <si>
    <t>5/11/2026 8:21:37 AM</t>
  </si>
  <si>
    <t>User Story: US-FAM-FSPR-001-001 Inbox Screen - 1.1.2.1.1.1 شاشة مهامي -</t>
  </si>
  <si>
    <t>5/10/2026 1:09:40 PM</t>
  </si>
  <si>
    <t>User Story: US-FAM-FSPR-001-001 Inbox Screen - 1.1.2.1.1.1 شاشة مهامي -metting</t>
  </si>
  <si>
    <t>5/10/2026 1:11:10 PM</t>
  </si>
  <si>
    <t>US-EXT-EMP-124 Generate Summary Report (إجمالي مبالغ الاستخراج)</t>
  </si>
  <si>
    <t>5/10/2026 8:58:16 PM</t>
  </si>
  <si>
    <t>US-EXT-EMP-125 Generate Detailed Report (تفصيلي مبالغ الاستخراج)</t>
  </si>
  <si>
    <t>5/10/2026 8:59:04 PM</t>
  </si>
  <si>
    <t>US-EXT-EMP-127 Extraction Statistics Report (إحصائية الاستخراجات)</t>
  </si>
  <si>
    <t>5/10/2026 9:01:13 PM</t>
  </si>
  <si>
    <t>5/13/2026 12:27:43 PM</t>
  </si>
  <si>
    <t>US-EXT-EMP-036 Print Issued Extracts (طباعة الاستخراجات المصدرة على القضية)</t>
  </si>
  <si>
    <t>5/13/2026 12:27:41 PM</t>
  </si>
  <si>
    <t>US-EXT-EMP-129 Images and Certificates Count Statistics (إحصائية عدد الصور والشهادات)</t>
  </si>
  <si>
    <t>5/10/2026 9:56:55 PM</t>
  </si>
  <si>
    <t>5/10/2026 10:32:14 PM</t>
  </si>
  <si>
    <t>US-EXT-EMP-123 Generate Paid Amounts Report (إنشاء تقرير المبالغ المسددة)</t>
  </si>
  <si>
    <t>5/10/2026 10:33:00 PM</t>
  </si>
  <si>
    <t>US-FAM-FSPR-001-014 Inquiry by Case Data in the Partial Prosecution - شاشة الاستعلام ببيانات القضية في النيابة الجزئية - BE Implementation</t>
  </si>
  <si>
    <t>5/13/2026 3:13:00 PM</t>
  </si>
  <si>
    <t>integrate with front-end team شاشة استعراض الطلب</t>
  </si>
  <si>
    <t>5/12/2026 11:45:08 AM</t>
  </si>
  <si>
    <t>FE - INTEGRATION in decisions and directions with backend team remon</t>
  </si>
  <si>
    <t>5/11/2026 10:29:26 AM</t>
  </si>
  <si>
    <t>FE UI in  استعراض طلب اعمال النيابات</t>
  </si>
  <si>
    <t>5/11/2026 10:35:26 AM</t>
  </si>
  <si>
    <t>https://azuredevops2022.intercom.com.eg/DefaultCollection/Enterprise-PPO-FamilyRevamp-4452/_workitems/edit/54837</t>
  </si>
  <si>
    <t>5/11/2026 10:42:26 AM</t>
  </si>
  <si>
    <t>https://azuredevops2022.intercom.com.eg/DefaultCollection/Enterprise-PPO-FamilyRevamp-4452/_workitems/edit/54836</t>
  </si>
  <si>
    <t>5/11/2026 10:43:53 AM</t>
  </si>
  <si>
    <t>US-EXT-EMP-070 Control One-Time Issue Button Usage (A9)-FE Implementation</t>
  </si>
  <si>
    <t>5/11/2026 10:31:35 PM</t>
  </si>
  <si>
    <t>US-EXT-EMP-073 Prevent Issuance When Appeal Exists-BE Implementation</t>
  </si>
  <si>
    <t>5/11/2026 1:30:54 PM</t>
  </si>
  <si>
    <t>US-EXT-EMP-073 Prevent Issuance When Appeal Exists-BE Integration</t>
  </si>
  <si>
    <t>5/11/2026 1:28:10 PM</t>
  </si>
  <si>
    <t>تعديل ال 6 شاشات الخاصة بالاسترخراجات - RE-ntegrations</t>
  </si>
  <si>
    <t>5/12/2026 4:26:21 AM</t>
  </si>
  <si>
    <t>Meet With Mohammed Yahia</t>
  </si>
  <si>
    <t>5/12/2026 4:28:44 AM</t>
  </si>
  <si>
    <t>Integration with FE-User Story: US-FAM-FSPR-004-001 Search Administrative Decisions Screen - 1.4.1.1.1 شاشة البحث عن القرارات الادارية</t>
  </si>
  <si>
    <t>5/13/2026 12:24:07 PM</t>
  </si>
  <si>
    <t>workflow meeting &amp; tasks assignation</t>
  </si>
  <si>
    <t>5/13/2026 12:23:35 PM</t>
  </si>
  <si>
    <t>US-FAM-SPR-008-001: View and Print Previous Session Decisions for a Case (5.4.5.2.1)- BE Implementation</t>
  </si>
  <si>
    <t>5/12/2026 12:55:47 PM</t>
  </si>
  <si>
    <t>Enterprise-PPO-FamilyRevamp-4452\Iteration 4 - اعمال الجلسات</t>
  </si>
  <si>
    <t xml:space="preserve">Technical depth and meeting to see the work through  for missions with Mohammed Yehia </t>
  </si>
  <si>
    <t>5/12/2026 1:45:23 PM</t>
  </si>
  <si>
    <t>[MCIT Demo][الجلسات] list of اعضاء الهيئة القضائية contains inactive members تعيين الهيئة القضائية screen</t>
  </si>
  <si>
    <t>5/12/2026 4:58:35 PM</t>
  </si>
  <si>
    <t>Enterprise-PPO-FamilyRevamp-4452\Iteration 2 - اعمال الجلسات</t>
  </si>
  <si>
    <t xml:space="preserve">[رسوم المطالبات] Search function is not working </t>
  </si>
  <si>
    <t>5/12/2026 6:24:40 PM</t>
  </si>
  <si>
    <t>[رسوم المطالبات] قيمة بند الرسوم Does not show % when طريقة الاحتساب = مجمع</t>
  </si>
  <si>
    <t>5/12/2026 6:24:42 PM</t>
  </si>
  <si>
    <t>User Story: US-FAM-FSPR-002-001 Investigation Minutes Screen - 1.2.1.1.1.1 شاشة محضر التحقيق-BE Implementation</t>
  </si>
  <si>
    <t>5/12/2026 6:24:39 PM</t>
  </si>
  <si>
    <t>5/12/2026 6:29:58 PM</t>
  </si>
  <si>
    <t>5/12/2026 6:30:30 PM</t>
  </si>
  <si>
    <t>User Story: US-FAM-FSPR-004-001 Search Administrative Decisions Screen - 1.4.1.1.1 شاشة البحث عن القرارات الادارية</t>
  </si>
  <si>
    <t>5/12/2026 6:33:01 PM</t>
  </si>
  <si>
    <t>User Story: US-FAM-FSPR-004-003 Edit Administrative Decisions Screen - شاشة تعديل القرارات الادارية</t>
  </si>
  <si>
    <t>5/12/2026 6:33:38 PM</t>
  </si>
  <si>
    <t>User Story: US-FAM-FSPR-004-004 View Administrative Decisions Screen - شاشة استعراض القرارات الادارية</t>
  </si>
  <si>
    <t>5/12/2026 6:34:25 PM</t>
  </si>
  <si>
    <t>BE - UCM - الحوافظ و المستندت</t>
  </si>
  <si>
    <t>5/12/2026 9:28:26 PM</t>
  </si>
  <si>
    <t xml:space="preserve">BE Implementation - Prosecution Work Request </t>
  </si>
  <si>
    <t>5/13/2026 10:36:16 AM</t>
  </si>
  <si>
    <t>5/13/2026 10:37:15 AM</t>
  </si>
  <si>
    <t>FE-US-ADM-EXT-020 Apply General System Rules (تطبيق المتطلبات العامة على النظام)</t>
  </si>
  <si>
    <t>5/13/2026 10:56:50 AM</t>
  </si>
  <si>
    <t>US-EXT-EMP-033 Extracts on Request</t>
  </si>
  <si>
    <t>5/13/2026 11:10:59 AM</t>
  </si>
  <si>
    <t xml:space="preserve">FE - working on bugs </t>
  </si>
  <si>
    <t>5/13/2026 11:12:28 AM</t>
  </si>
  <si>
    <t>Technical Leadership Nafs - UCM</t>
  </si>
  <si>
    <t>5/14/2026 2:44:33 PM</t>
  </si>
  <si>
    <t>Enterprise-PPO-FamilyRevamp-4452\PPO-Revamp-UCM-Iteration</t>
  </si>
  <si>
    <t>BE - Implement DECISIONS - UCM</t>
  </si>
  <si>
    <t>5/17/2026 12:57:09 PM</t>
  </si>
  <si>
    <t>review BE implementation, test and Integrate with front end-User Story: US-FAM-FSPR-001-001 Inbox Screen - 1.1.2.1.1.1 شاشة مهامي</t>
  </si>
  <si>
    <t>5/14/2026 11:11:59 AM</t>
  </si>
  <si>
    <t>review BE implementation,Test and integrate with FE-User Story: US-FAM-FSPR-008-009 Merged Requests Screen - 1.7.5.2.1 شاشة الطلبات المضمومة</t>
  </si>
  <si>
    <t>5/14/2026 11:11:31 AM</t>
  </si>
  <si>
    <t>FE INTEGRATION - Made modifications with remon in integrations for 3 hours in side menu form (which has no userstory yet)</t>
  </si>
  <si>
    <t>5/13/2026 12:35:44 PM</t>
  </si>
  <si>
    <t>FE - UI - User Story: US-FAM-FSPR-008-009 Merged Requests Screen - 1.7.5.2.1 شاشة الطلبات المضمومة</t>
  </si>
  <si>
    <t>5/13/2026 12:36:07 PM</t>
  </si>
  <si>
    <t>FE INTEGRATION User Story: US-FAM-FSPR-008-009 Merged Requests Screen - 1.7.5.2.1 شاشة الطلبات المضمومة</t>
  </si>
  <si>
    <t>5/13/2026 1:42:52 PM</t>
  </si>
  <si>
    <t>US-FAM-SPR-015-001: Manage and Filter Case List for a Session (5.6.1.2.1) - BE Implementation - new</t>
  </si>
  <si>
    <t>5/13/2026 1:01:00 PM</t>
  </si>
  <si>
    <t>[MCIT Demo][الجلسات] Found validation error prevents us to create جلسة سابقة علي القضية in screen ادارة القضية</t>
  </si>
  <si>
    <t>5/13/2026 1:30:33 PM</t>
  </si>
  <si>
    <t>Bug Fixing - [ تقرير بالمطالبات] The system retrieved the data of the report wrong</t>
  </si>
  <si>
    <t>Emad Mahfouz &lt;INTERCOM\Emad.Mahfouz&gt;</t>
  </si>
  <si>
    <t>5/18/2026 12:30:26 AM</t>
  </si>
  <si>
    <t>Enterprise-PPO-FamilyRevamp-4452\المطالبات - Iteration 5 (Phase 5)</t>
  </si>
  <si>
    <t>Bug Fixing - [إحصائيات المطالبات المحصلة] The system retrieved the data of the report wrong</t>
  </si>
  <si>
    <t>5/18/2026 12:29:28 AM</t>
  </si>
  <si>
    <t>Bug Fixing - [إحصائيات المطالبات - إحصائيات المطالبات المحصلة - تقرير بالمطالبات] The date format not appear same in the generated report for تاريخ من &amp; تاريخ الى with تاريخ الطباعة</t>
  </si>
  <si>
    <t>5/18/2026 12:27:53 AM</t>
  </si>
  <si>
    <t>Technical Leadership Mal - UCM</t>
  </si>
  <si>
    <t>5/14/2026 2:44:49 PM</t>
  </si>
  <si>
    <t>[رسوم المطالبات]هذا الحقل مطلوب error appears under بيانات بند الرسم fields when user adds a fee item without defining فترات مالية</t>
  </si>
  <si>
    <t>5/13/2026 1:56:12 PM</t>
  </si>
  <si>
    <t>Technical Leadership Extractions- UCM</t>
  </si>
  <si>
    <t>5/21/2026 2:59:24 PM</t>
  </si>
  <si>
    <t>Technical Leadership Claims- UCM</t>
  </si>
  <si>
    <t>5/21/2026 3:00:14 PM</t>
  </si>
  <si>
    <t>5/13/2026 1:57:40 PM</t>
  </si>
  <si>
    <t>5/13/2026 1:58:20 PM</t>
  </si>
  <si>
    <t>Technical Leadership ProsWork - UCM</t>
  </si>
  <si>
    <t>5/21/2026 3:01:10 PM</t>
  </si>
  <si>
    <t>BE - Implement Mal-UCM</t>
  </si>
  <si>
    <t>5/24/2026 1:09:25 PM</t>
  </si>
  <si>
    <t>BE - Implement Claims -UCM</t>
  </si>
  <si>
    <t>5/14/2026 12:29:17 AM</t>
  </si>
  <si>
    <t>BE - Implement Sessions -UCM</t>
  </si>
  <si>
    <t>5/24/2026 1:09:35 PM</t>
  </si>
  <si>
    <t>BE - Implement ProsWork -UCM</t>
  </si>
  <si>
    <t>5/16/2026 7:31:13 PM</t>
  </si>
  <si>
    <t>FE - Implement  ProsWork- UCM</t>
  </si>
  <si>
    <t>5/17/2026 3:25:32 AM</t>
  </si>
  <si>
    <t>FE - Implement  Claims - UCM</t>
  </si>
  <si>
    <t>5/13/2026 3:48:27 PM</t>
  </si>
  <si>
    <t>FE - Implement  Extractions - UCM</t>
  </si>
  <si>
    <t>5/13/2026 3:41:35 PM</t>
  </si>
  <si>
    <t>Bug Fixing - [إحصائيات المطالبات ] The system retrieved the data of the report wrong when using filtration of "السنة المالية"</t>
  </si>
  <si>
    <t>5/18/2026 12:27:05 AM</t>
  </si>
  <si>
    <t>Bug Fixing - [إحصائيات المطالبات ] The system retrieved the data of the report wrong when using filtration of "نوع الجدول"</t>
  </si>
  <si>
    <t>5/18/2026 12:27:30 AM</t>
  </si>
  <si>
    <t>Bug Fixing - [إحصائيات المطالبات ] The system retrieved the data of the report wrong when using filtration of "حالة المطالبة" &amp; "موقف المطالبة"</t>
  </si>
  <si>
    <t>5/18/2026 12:26:50 AM</t>
  </si>
  <si>
    <t>Bug Fixing - [إحصائيات المطالبات ] The system retrieved the data of the report wrong</t>
  </si>
  <si>
    <t>5/18/2026 12:29:46 AM</t>
  </si>
  <si>
    <t xml:space="preserve">Bug Fixing - [استعراض بيانات القضية][MCIT Demo] The system display "المورد غير موجود" when open بيانات القضية section in case view details </t>
  </si>
  <si>
    <t>5/13/2026 2:36:17 PM</t>
  </si>
  <si>
    <t>Enterprise-PPO-FamilyRevamp-4452\قيد دعوى النفس - Iteration 1</t>
  </si>
  <si>
    <t>Bug Fixing - [استعراض بيانات القضية][MCIT Demo] The system display incorrect hour in تاريخ التسجيل after save the case</t>
  </si>
  <si>
    <t>5/13/2026 2:36:13 PM</t>
  </si>
  <si>
    <t xml:space="preserve">Bug Fixing - [ دعوي جديدة بنفس الاطراف ][MCIT Demo] The system display "خطا داخلي في الخادم" when the authorized user click on دعوى جديدة بنفس الاطراف </t>
  </si>
  <si>
    <t>5/13/2026 2:36:09 PM</t>
  </si>
  <si>
    <t>Bug Fixing - [المطالبات على القضية - موقف المطالبة – الإدارة التلقائية لموقف المطالب] The System displays error message "قيمة المطالبة لا يمكن أن تتجاوز الحد المسموح" as prevents the user to create  طلب سداد جزئي for مطالبة مقسطة</t>
  </si>
  <si>
    <t>5/18/2026 12:33:32 AM</t>
  </si>
  <si>
    <t>Enterprise-PPO-FamilyRevamp-4452\المطالبات - Iteration 3 (Phase 3)</t>
  </si>
  <si>
    <t>Bug Fixing - [المطالبات على القضية -حذف طلب تقسيط] Super admin can't delete طلب تقسيط still not approved from عضو النيابة</t>
  </si>
  <si>
    <t>5/18/2026 12:31:34 AM</t>
  </si>
  <si>
    <t>Enterprise-PPO-FamilyRevamp-4452\المطالبات - Iteration 4 (Phase 4)</t>
  </si>
  <si>
    <t>Bug Fixing - [المطالبات على القضية -حذف طلب اقالة] System keep the status of claim as مقالة while the record deleted</t>
  </si>
  <si>
    <t>5/18/2026 12:33:57 AM</t>
  </si>
  <si>
    <t>Bug Fixing - [المطالبات على القضية -استعراض سجلات الاقالات السابقة] The data of تاريخ الجلسة &amp; اخر اجراء / معاملة doesn't show any data</t>
  </si>
  <si>
    <t>5/17/2026 12:26:20 AM</t>
  </si>
  <si>
    <t>Bug Fixing - [المطالبات على القضية -استعراض سجلات الاحالة السابقة] The data of تاريخ الجلسة &amp; اخر اجراء / معاملة doesn't show any data</t>
  </si>
  <si>
    <t>5/17/2026 12:26:07 AM</t>
  </si>
  <si>
    <t xml:space="preserve">Bug Fixing - [المطالبات على القضية -حذف طلب احالة] System keep the status of claim as محالة while delete the record </t>
  </si>
  <si>
    <t>5/18/2026 12:33:00 AM</t>
  </si>
  <si>
    <t>Bug Fixing - [المطالبات على القضية -استعراض سجلات طلبات التقسيط السابقة] Missing values in تاريخ الجلسة and آخر إجراء / معاملة on header (بيانات المطالبة الأساسية) at the top of the screen</t>
  </si>
  <si>
    <t>5/18/2026 12:28:32 AM</t>
  </si>
  <si>
    <t xml:space="preserve">Bug Fixing - [المطالبات على القضية -تسجيل اضافة طلب تقسيط ] System not supported to create an installment's request for another مدين </t>
  </si>
  <si>
    <t>5/18/2026 12:26:31 AM</t>
  </si>
  <si>
    <t>Bug Fixing - [المطالبات على القضية -حذف اعفاء من الرسوم] System keep the status of claim as معفاة من الرسوم while delete the record</t>
  </si>
  <si>
    <t>5/18/2026 12:31:55 AM</t>
  </si>
  <si>
    <t>Bug Fixing - [المطالبات على القضية -تسجيل اعفاء من الرسوم] The value for المبلغ المعفى not appear in the list of المدينيين and not reflect on المبلغ المتبقى</t>
  </si>
  <si>
    <t>5/18/2026 12:32:23 AM</t>
  </si>
  <si>
    <t>Bug Fixing - [المطالبات على القضية -تسجيل اقالة] The printed document not contain all data and it's design need to be like the US</t>
  </si>
  <si>
    <t>5/18/2026 12:32:46 AM</t>
  </si>
  <si>
    <t>Bug Fixing - [المطالبات على القضية -تسجيل اقالة] System return error "بيان مسجل من قبل" when try to save طلب اقالة</t>
  </si>
  <si>
    <t>5/17/2026 12:23:11 AM</t>
  </si>
  <si>
    <t>Bug Fixing - [المطالبات على القضية -تسجيل استرداد - تسجيل اقالة- تسجيل اعفاء] Found the value of تاريخ الجلسة &amp; آخر إجراء / معاملة not appear in the بيانات المطالبة</t>
  </si>
  <si>
    <t>5/18/2026 12:25:57 AM</t>
  </si>
  <si>
    <t xml:space="preserve">Bug Fixing - [المطالبات على القضية- حالة المطالبة – الإدارة التلقائية لحالة المطالب] The system displays claim's status  for new new claim incorrect </t>
  </si>
  <si>
    <t>5/18/2026 12:30:13 AM</t>
  </si>
  <si>
    <t xml:space="preserve">Bug Fixing - [المطالبات على القضية- الاحالة] The system generate the same رقم المطالبة when add multiple claims on the same case </t>
  </si>
  <si>
    <t>5/17/2026 12:22:40 AM</t>
  </si>
  <si>
    <t>User Story: US-FAM-FSPR-008-012 View Prosecutor's Work Status Screen - 1.7.8.2.1 شاشة استعراض موقف أعمال عضو النيابة-BE Integration</t>
  </si>
  <si>
    <t>5/13/2026 2:24:13 PM</t>
  </si>
  <si>
    <t xml:space="preserve">Bug Fixing - [استعراض بيانات القضية][MCIT Demo] The user with permission استعراض بيانات القضية cannot view the case details from my tasks screen in الاحالات section </t>
  </si>
  <si>
    <t>5/13/2026 2:36:25 PM</t>
  </si>
  <si>
    <t>Bug Fixing - [المطالبات على القضية - عرض التفاصيل السابقة] Found the data not sorted correct ascending by 'التاريخ'</t>
  </si>
  <si>
    <t>5/13/2026 2:48:06 PM</t>
  </si>
  <si>
    <t>Bug Fixing - [المطالبات - تعديل مدين] The value of المبلغ المتبقى not updated after update the amount of المبلغ المستحق</t>
  </si>
  <si>
    <t>5/13/2026 2:49:01 PM</t>
  </si>
  <si>
    <t>Bug Fixing - [المطالبات على القضية - عرض مطالبات القضية] The user can access مطالبات القضية while don't have permission</t>
  </si>
  <si>
    <t>5/13/2026 2:53:53 PM</t>
  </si>
  <si>
    <t>Bug Fixing - [المطالبات- البحث المتقدم] The search result print result not contain all data</t>
  </si>
  <si>
    <t>5/13/2026 2:51:18 PM</t>
  </si>
  <si>
    <t>5/13/2026 2:58:37 PM</t>
  </si>
  <si>
    <t>5/14/2026 7:57:25 PM</t>
  </si>
  <si>
    <t>[Mission &amp; Assistance] Fixing Issues -  UCM Integration - Demo Comments , [POS] Payment &amp; SSL Integration</t>
  </si>
  <si>
    <t>5/13/2026 3:04:57 PM</t>
  </si>
  <si>
    <t>Enterprise-PPO-FamilyRevamp-4452\أعمال المأموريات و المعاونة - Phase4</t>
  </si>
  <si>
    <t xml:space="preserve">Incentive Tasks [POS Integration][MCIT Demo] </t>
  </si>
  <si>
    <t>5/13/2026 3:11:48 PM</t>
  </si>
  <si>
    <t>FE - Implement</t>
  </si>
  <si>
    <t>5/13/2026 3:23:12 PM</t>
  </si>
  <si>
    <t>FE - Integration</t>
  </si>
  <si>
    <t>5/13/2026 3:23:22 PM</t>
  </si>
  <si>
    <t>User Story: US-FAM-FSPR-008-012 View Prosecutor's Work Status Screen - 1.7.8.2.1 شاشة استعراض موقف أعمال عضو النيابة-UI</t>
  </si>
  <si>
    <t>5/13/2026 3:34:54 PM</t>
  </si>
  <si>
    <t>FE - UI User Story: US-FAM-FSPR-008-011 View My Requests Screen - 1.7.7.2.1 شاشة استعراض طلباتي</t>
  </si>
  <si>
    <t>5/13/2026 4:36:21 PM</t>
  </si>
  <si>
    <t>User Story: US-FAM-FSPR-008-012 View Prosecutor's Work Status Screen - 1.7.8.2.1 شاشة استعراض موقف أعمال عضو النيابة-integration</t>
  </si>
  <si>
    <t>5/13/2026 3:35:39 PM</t>
  </si>
  <si>
    <t xml:space="preserve">BE - Bug Fixing [Roles&amp;&amp;Permissions][إعدادات المال] إعدادات المال should be under اعدادات النظام not under دعوى المال </t>
  </si>
  <si>
    <t>5/13/2026 3:40:21 PM</t>
  </si>
  <si>
    <t>Enterprise-PPO-FamilyRevamp-4452\قيد دعوى المال - Iteration 4 Permissions</t>
  </si>
  <si>
    <t>إستعراض طلب اعمال نيابات
-integration</t>
  </si>
  <si>
    <t>5/13/2026 4:26:16 PM</t>
  </si>
  <si>
    <t>FE INTEGRATION User Story: US-FAM-FSPR-008-011 View My Requests Screen - 1.7.7.2.1 شاشة استعراض طلباتي</t>
  </si>
  <si>
    <t>5/14/2026 1:30:30 PM</t>
  </si>
  <si>
    <t>User Story: US-FAM-FSPR-002-007 Print Investigation Minutes - 1.2.5.4 كمستخدم صاحب صلاحية, أريد طباعة محضر التحقيق - BE Implementation</t>
  </si>
  <si>
    <t>5/13/2026 5:45:56 PM</t>
  </si>
  <si>
    <t>56823 - [المطالبات على القضية- الاجراءات] Unexpected error appeared when the authorized user try to edit existing procedure</t>
  </si>
  <si>
    <t>5/18/2026 12:31:18 AM</t>
  </si>
  <si>
    <t>meeting offline with mohamed yahia - 11-5</t>
  </si>
  <si>
    <t>5/14/2026 9:10:45 AM</t>
  </si>
  <si>
    <t xml:space="preserve">update advanced forms logic </t>
  </si>
  <si>
    <t>5/14/2026 9:11:26 AM</t>
  </si>
  <si>
    <t>Wireframe_BM Task</t>
  </si>
  <si>
    <t>5/19/2026 6:42:30 PM</t>
  </si>
  <si>
    <t>FE - working on 56820</t>
  </si>
  <si>
    <t>5/14/2026 11:01:18 AM</t>
  </si>
  <si>
    <t>FE - working on 53175</t>
  </si>
  <si>
    <t>5/14/2026 11:02:20 AM</t>
  </si>
  <si>
    <t>FE - wokring on 56247</t>
  </si>
  <si>
    <t>5/14/2026 11:02:28 AM</t>
  </si>
  <si>
    <t>FE - working on 56751</t>
  </si>
  <si>
    <t>5/14/2026 11:02:40 AM</t>
  </si>
  <si>
    <t xml:space="preserve">[اشكال في التنفيذ] Found that no validation appear in case of enter 0000 in field سنة القضية in اشكال في التنفيذ service after step of the fees </t>
  </si>
  <si>
    <t>5/14/2026 12:11:45 PM</t>
  </si>
  <si>
    <t xml:space="preserve">[اشكال في التنفيذ] Found that no validation appear in case of enter more than 999999 in field سنة القضية in اشكال في التنفيذ service after step of the fees </t>
  </si>
  <si>
    <t>5/14/2026 12:16:54 PM</t>
  </si>
  <si>
    <t xml:space="preserve">[استخراج انذار طاعة] Found button named التالي not اصدار المستخرج in section الرسوم والسداد </t>
  </si>
  <si>
    <t>5/14/2026 12:20:33 PM</t>
  </si>
  <si>
    <t>[اشكال في التنفيذ] Found that the name  of الرقم القومي للزوجة not *رقم الإثبات للزوجةand الرقم القومي للزوج not رقم الإثبات للزوج in     اشكال في التنفيذ service in search screen</t>
  </si>
  <si>
    <t>5/14/2026 12:25:44 PM</t>
  </si>
  <si>
    <t xml:space="preserve">[اشكال في التنفيذ] Found that no validation appear in case of enter future date in field سنة القضية in اشكال في التنفيذ service after step of the fees </t>
  </si>
  <si>
    <t>5/14/2026 12:35:23 PM</t>
  </si>
  <si>
    <t>[استخراج شهادة بالحجر] الاسم field is not retrieved when user searches for قضايا حجر</t>
  </si>
  <si>
    <t>5/14/2026 12:44:30 PM</t>
  </si>
  <si>
    <t xml:space="preserve">[استخراج شهادة بالحجر] اصدار المستخرج button is available in search screen while it is not required </t>
  </si>
  <si>
    <t>5/14/2026 12:50:43 PM</t>
  </si>
  <si>
    <t>BE — Banque Misr Integration</t>
  </si>
  <si>
    <t>5/18/2026 12:17:42 AM</t>
  </si>
  <si>
    <t>استعراض طلب اعمال النيابات-integration</t>
  </si>
  <si>
    <t>5/14/2026 2:53:14 PM</t>
  </si>
  <si>
    <t>[الاستعلام عن الدعاوى بالرقم القومي] No لا توجد نتائج مطابقة is displayed when there are no returned cases</t>
  </si>
  <si>
    <t>5/14/2026 3:44:15 PM</t>
  </si>
  <si>
    <t>[الاستعلام عن الدعاوى بالرقم القومي] National ID field accepts non numeric values</t>
  </si>
  <si>
    <t>5/14/2026 3:51:07 PM</t>
  </si>
  <si>
    <t>[الاستعلام عن الدعاوى بالرقم القومي] هذا الحقل مطلوب error appears despite user has selected search filters</t>
  </si>
  <si>
    <t>5/14/2026 3:54:29 PM</t>
  </si>
  <si>
    <t xml:space="preserve">[اشكال في التنفيذ] No validation when enter non numeric characters in fields of wife/husband of رقم الاثبات  in   اشكال في التنفيذ service after step of the fees </t>
  </si>
  <si>
    <t>5/14/2026 3:55:55 PM</t>
  </si>
  <si>
    <t>[استخراج انذار طاعة] Found that validation not appear in US in case of put 99/99/2024 in the field of تاريخ إنذار الطاعة in search screen</t>
  </si>
  <si>
    <t>5/14/2026 3:58:04 PM</t>
  </si>
  <si>
    <t xml:space="preserve">BE - US-ADM-EXT-019 Manage User Roles &amp; Permissions (إدارة صلاحيات المستخدمين) settings </t>
  </si>
  <si>
    <t>5/24/2026 1:07:30 PM</t>
  </si>
  <si>
    <t>[الاستعلام عن الدعاوى بالرقم القومي] User can print and download report</t>
  </si>
  <si>
    <t>5/14/2026 9:31:09 PM</t>
  </si>
  <si>
    <t>[استخراج انذار طاعة] Found اسم الزوجة appear on the name inside field once enter national id in رقم الاثبات field</t>
  </si>
  <si>
    <t>5/14/2026 9:32:33 PM</t>
  </si>
  <si>
    <t>[استخراج انذار طاعة]  Found that the named of button in search screen is الغاء not رجوع</t>
  </si>
  <si>
    <t>5/14/2026 9:36:30 PM</t>
  </si>
  <si>
    <t>5/14/2026 10:06:48 PM</t>
  </si>
  <si>
    <t>[56831] Bug Fixing: [استخراج شهادة بالحجر] User cannot add a party if it was added before in قاعدة بيانات المحامين on the system</t>
  </si>
  <si>
    <t>5/14/2026 10:09:37 PM</t>
  </si>
  <si>
    <t>[56824] Bug Fixing: [استخراج شهادة بالحجر] User can issue new extraction request with نوع الطرف = متوفي</t>
  </si>
  <si>
    <t>5/14/2026 10:11:11 PM</t>
  </si>
  <si>
    <t>56172 Bug Fixing: [استخراج شهادة بالحجر] حدث خطأ ما error when user clicks on عرض التقرير</t>
  </si>
  <si>
    <t>5/14/2026 10:12:01 PM</t>
  </si>
  <si>
    <t>[56825] Bug fixing: [اشكال في التنفيذ] Found that error appear in case of click on buttons  اصدار المستخرج  and عرض التقرير in  اشكال في التنفيذ service in search screen in case of no results retrieved</t>
  </si>
  <si>
    <t>5/14/2026 10:12:47 PM</t>
  </si>
  <si>
    <t>[56238 ] Bug Fixing:  [استخراج انذار طاعة] No data is retrieved when enter husband name in search screen also, there is a data in قضية number 1172</t>
  </si>
  <si>
    <t>5/14/2026 10:13:33 PM</t>
  </si>
  <si>
    <t>[56847] [استعراض قائمة أنواع القضايا / الطلبات] The system is displaying wrong values</t>
  </si>
  <si>
    <t>5/14/2026 10:14:28 PM</t>
  </si>
  <si>
    <t>Enterprise-PPO-FamilyRevamp-4452\الاستخراجات _ Iteration 1</t>
  </si>
  <si>
    <t>[56170] Bug Fixing: [استخراج شهادة بالحجر] الاسم field is not retrieved when user searches for قضايا حجر</t>
  </si>
  <si>
    <t>5/14/2026 10:15:39 PM</t>
  </si>
  <si>
    <t>[56881] Bug Fixing: [استعراض قائمة مؤشرات السداد] The system is displaying wrong values in the مؤشر السداد DDL</t>
  </si>
  <si>
    <t>5/14/2026 10:16:11 PM</t>
  </si>
  <si>
    <t>FE - work with bug 56888</t>
  </si>
  <si>
    <t>5/15/2026 11:43:40 PM</t>
  </si>
  <si>
    <t>FE - work with bug 56893</t>
  </si>
  <si>
    <t>5/15/2026 11:44:53 PM</t>
  </si>
  <si>
    <t>FE - work with bug 56238</t>
  </si>
  <si>
    <t>5/15/2026 11:44:22 PM</t>
  </si>
  <si>
    <t>FE - work with bug 56867</t>
  </si>
  <si>
    <t>5/15/2026 11:44:16 PM</t>
  </si>
  <si>
    <t>FE - work with bug 56847</t>
  </si>
  <si>
    <t>5/15/2026 11:44:11 PM</t>
  </si>
  <si>
    <t>FE- work with bug 56911</t>
  </si>
  <si>
    <t>5/15/2026 11:44:05 PM</t>
  </si>
  <si>
    <t>FE- work with bug 56924</t>
  </si>
  <si>
    <t>5/15/2026 11:43:57 PM</t>
  </si>
  <si>
    <t>FE- work wih bug 56165</t>
  </si>
  <si>
    <t>5/15/2026 11:43:50 PM</t>
  </si>
  <si>
    <t>FE - work with 56913</t>
  </si>
  <si>
    <t>5/15/2026 11:55:30 PM</t>
  </si>
  <si>
    <t>Bug fixing - [المطالبات على القضية- تسجيل سداد] The system did not display the المبلغ المدفوع in بيانات المدينين section</t>
  </si>
  <si>
    <t>5/16/2026 3:43:32 AM</t>
  </si>
  <si>
    <t>Bug Fixing - [المطالبات على القضية- الاجراءات] The system did not display the correct أخر اجراء when add more than one procedure on the claim</t>
  </si>
  <si>
    <t>5/16/2026 2:53:55 AM</t>
  </si>
  <si>
    <t>Bug Fixing - [المطالبات على القضية- الاجراءات] The system did not restore حالة المطالبة to جديدة when delete more than one procedure on the claim</t>
  </si>
  <si>
    <t>5/16/2026 3:41:30 AM</t>
  </si>
  <si>
    <t>Bug Fixing - [إحصائيات المطالبات السنوية] The value of  المتحصل appear wrong (قيمة - عدد)</t>
  </si>
  <si>
    <t>5/16/2026 4:46:07 AM</t>
  </si>
  <si>
    <t>BE - [إضافة مستخدم جديد] The system displays all permissions that are related to the deleted role</t>
  </si>
  <si>
    <t>5/16/2026 5:49:31 PM</t>
  </si>
  <si>
    <t>Enterprise-PPO-FamilyRevamp-4452\Iteration 11 - User Managment 2</t>
  </si>
  <si>
    <t>[56913] Bug fixing: [الاستعلام عن الدعاوى بالرقم القومي] الرقم القومي field searches in all proof types not national id only</t>
  </si>
  <si>
    <t>5/16/2026 5:50:06 PM</t>
  </si>
  <si>
    <t>Bug Fixing - [إحصائيات المطالبات السنوية] The value of  المتحصل خلال سنة appear wrong (قيمة - عدد)</t>
  </si>
  <si>
    <t>5/16/2026 11:40:08 PM</t>
  </si>
  <si>
    <t xml:space="preserve">FE - work with 56912 </t>
  </si>
  <si>
    <t>5/16/2026 11:44:25 PM</t>
  </si>
  <si>
    <t>FE - work with 56882</t>
  </si>
  <si>
    <t>5/16/2026 11:44:52 PM</t>
  </si>
  <si>
    <t>FE - work with 56874</t>
  </si>
  <si>
    <t>5/16/2026 11:49:55 PM</t>
  </si>
  <si>
    <t>FE - work with 56720</t>
  </si>
  <si>
    <t>5/16/2026 11:50:02 PM</t>
  </si>
  <si>
    <t>FE - work with 56949</t>
  </si>
  <si>
    <t>5/16/2026 11:50:09 PM</t>
  </si>
  <si>
    <t>Bug Fixing - [المطالبات على القضية- تسجيل سداد] The system change موقف المطالبة and حالة المطالبة  to مسددة when the user add payment record without paying the fees</t>
  </si>
  <si>
    <t>5/17/2026 12:18:50 AM</t>
  </si>
  <si>
    <t xml:space="preserve">User Story: US-FAM-FSPR-002-007 Print Investigation Minutes - 1.2.5.4 كمستخدم صاحب صلاحية, أريد طباعة محضر التحقيق FE - INTEGRATION </t>
  </si>
  <si>
    <t>5/17/2026 12:49:31 AM</t>
  </si>
  <si>
    <t>BE - [اشكال في التنفيذ] Found that error appear when click on اختيار in   اشكال في التنفيذ service after step of the fees</t>
  </si>
  <si>
    <t>5/17/2026 1:06:20 AM</t>
  </si>
  <si>
    <t>User Story: US-FAM-FSPR-007-001 View Ledgers Screen - 1.2.1.2.1 شاشة استعراض الدفاتر FE UI</t>
  </si>
  <si>
    <t>5/17/2026 1:41:24 AM</t>
  </si>
  <si>
    <t>User Story: US-FAM-FSPR-007-001 View Ledgers Screen - 1.2.1.2.1 شاشة استعراض الدفاتر FE - INTEGRATION</t>
  </si>
  <si>
    <t>5/18/2026 12:16:25 PM</t>
  </si>
  <si>
    <t>(US-FAM-FSPR-004-004) Edit Preamble Details - شاشة تعديل قائمة بنك الديباجات FE UI</t>
  </si>
  <si>
    <t>5/17/2026 1:48:42 AM</t>
  </si>
  <si>
    <t>Enterprise-PPO-FamilyRevamp-4452\Iteration 0 - اعمال الجلسات - اعدادات</t>
  </si>
  <si>
    <t xml:space="preserve">(US-FAM-FSPR-004-003) View Preamble Details - شاشة استعراض قائمة بنك الديباجات FE - UI </t>
  </si>
  <si>
    <t>5/17/2026 1:49:19 AM</t>
  </si>
  <si>
    <t xml:space="preserve">(US-FAM-SPR-012-015) Define the Bank of Preamble Templates for Session Actions - Registration Screen - شاشة تسجيل قائمة بنك الديباجات FE - UI </t>
  </si>
  <si>
    <t>5/17/2026 1:50:47 AM</t>
  </si>
  <si>
    <t>(US-FAM-SPR-012-014) Define the Bank of Preamble Templates for Session Actions - Search Screen - شاشة البحث في قائمة بنك الديباجات FE - UI</t>
  </si>
  <si>
    <t>5/17/2026 1:51:08 AM</t>
  </si>
  <si>
    <t>FE - Implement Create request prosecution document and files</t>
  </si>
  <si>
    <t>5/17/2026 3:25:48 AM</t>
  </si>
  <si>
    <t>[56947] Bug Fixing: [قائمة الرسوم] System Does Not Filter Fee Items Based on Selected case and نوع الجدول</t>
  </si>
  <si>
    <t>5/17/2026 10:38:10 AM</t>
  </si>
  <si>
    <t>[56945] Bug Fixing: [قائمة الرسوم] System Does Not Filter Fee Items Based on Selected "نيابة جزئية"</t>
  </si>
  <si>
    <t>5/17/2026 10:38:52 AM</t>
  </si>
  <si>
    <t>User Story: US-FAM-FSPR-007-001 View Ledgers Screen - 1.2.1.2.1 شاشة استعراض الدفاتر - TD</t>
  </si>
  <si>
    <t>Remon Ibrahim &lt;INTERCOM\Remon.Ibrahim&gt;</t>
  </si>
  <si>
    <t>5/17/2026 12:28:50 PM</t>
  </si>
  <si>
    <t>Frontend POS</t>
  </si>
  <si>
    <t>5/18/2026 10:22:42 AM</t>
  </si>
  <si>
    <t>Enterprise-PPO-FamilyRevamp-4452\External-Integration</t>
  </si>
  <si>
    <t xml:space="preserve">(US-FAM-FSPR-004-004) Edit Preamble Details - شاشة تعديل قائمة بنك الديباجات FE - INTEGRATION </t>
  </si>
  <si>
    <t>5/17/2026 2:48:54 PM</t>
  </si>
  <si>
    <t>FE - INTEGRATION (US-FAM-FSPR-004-003) View Preamble Details - شاشة استعراض قائمة بنك الديباجات</t>
  </si>
  <si>
    <t>5/17/2026 2:49:28 PM</t>
  </si>
  <si>
    <t>FE - INTEGRATION (US-FAM-SPR-012-015) Define the Bank of Preamble Templates for Session Actions - Registration Screen - شاشة تسجيل قائمة بنك الديباجات</t>
  </si>
  <si>
    <t>5/17/2026 2:49:50 PM</t>
  </si>
  <si>
    <t xml:space="preserve">FE - INTEGRATION </t>
  </si>
  <si>
    <t>5/17/2026 2:50:27 PM</t>
  </si>
  <si>
    <t>BE implementation-US-FAM-SPR-018-004: Copy Assistant's Decisions (5.7.9.2.1)</t>
  </si>
  <si>
    <t>5/19/2026 1:30:33 PM</t>
  </si>
  <si>
    <t>Enterprise-PPO-FamilyRevamp-4452\Iteration 3 - اعمال الجلسات</t>
  </si>
  <si>
    <t>User Story 28517: US-FAM-SPR-018-002: View Draft Judgments (5.7.3.2.1)- ui and integration</t>
  </si>
  <si>
    <t>5/17/2026 3:59:14 PM</t>
  </si>
  <si>
    <t>BE implementation-US-FAM-SPR-023-001: Create Certified Copies of Judgments (5.7.8.2.1)</t>
  </si>
  <si>
    <t>5/19/2026 1:30:04 PM</t>
  </si>
  <si>
    <t>Bug 56168: [MCIT Demo][الجلسات] Found unexpected changes in the data after saving استبعاد جلسة سابقة when viewing excluded past session-FE-integration</t>
  </si>
  <si>
    <t>5/17/2026 7:18:49 PM</t>
  </si>
  <si>
    <t>User Story 28517: US-FAM-SPR-018-002: View Draft Judgments (5.7.3.2.1)-interation</t>
  </si>
  <si>
    <t>5/17/2026 7:57:24 PM</t>
  </si>
  <si>
    <t>User Story: US-FAM-FSPR-008-011 View My Requests Screen - 1.7.7.2.1 شاشة استعراض طلباتي-BE Print Implementation</t>
  </si>
  <si>
    <t>5/17/2026 8:47:15 PM</t>
  </si>
  <si>
    <t>Bug Fixing - [إحصائيات المطالبات - إحصائيات المطالبات المحصلة - تقرير بالمطالبات-المطالبة السنوية] Can't find any permission related to access the report احصائية المطالبات or any report</t>
  </si>
  <si>
    <t>5/17/2026 10:37:18 PM</t>
  </si>
  <si>
    <t>Bug Fixing - [إحصائيات المطالبات السنوية] The system not handle if try to print report contain more than one نيابة جزئية</t>
  </si>
  <si>
    <t>5/17/2026 11:16:42 PM</t>
  </si>
  <si>
    <t>Bug Fixing - [المطالبات على القضية -تسجيل طلب احالة] Found all اطراف الدعوى appear while should excludes the referring debtor</t>
  </si>
  <si>
    <t>5/17/2026 11:34:03 PM</t>
  </si>
  <si>
    <t>Bug Fixing - [المطالبات على القضية -تسجيل اضافة طلب تقسيط - تعديل  طلب تقسيط] Missing Field حالة القسط in adding new request</t>
  </si>
  <si>
    <t>5/18/2026 12:07:19 AM</t>
  </si>
  <si>
    <t>Bug Fixing - [المطالبات على القضية -استعراض سجلات طلبات التقسيط السابقة_تعديل طلب التقسيط] System displays بيانات التقسيط incorrect in view screen</t>
  </si>
  <si>
    <t>5/18/2026 12:09:03 AM</t>
  </si>
  <si>
    <t>Lawsuit registration Mal &amp; Nafs handover</t>
  </si>
  <si>
    <t>5/18/2026 12:24:31 AM</t>
  </si>
  <si>
    <t>BE - [قواعد التحقق قبل الإصدار] The system accept to issue an extraction with rule "هل يشترط وجود قضايا مرتبطة = نعم" for a case that has no "قضايا مرتبطه"</t>
  </si>
  <si>
    <t>5/18/2026 1:07:28 AM</t>
  </si>
  <si>
    <t>BE - [قواعد التحقق قبل الإصدار] The system accept to issue an extraction with rule "شرط وجود مسح ضوئي لمستند باسم" for a case that has no "مستندات"</t>
  </si>
  <si>
    <t>5/18/2026 2:59:59 AM</t>
  </si>
  <si>
    <t>BE - [قائمة الرسوم] The system should filter "رسوم المحامين" by "درجة المحامي" , "درجة التقاضي" , "نوع الجدول" and "تصنيف الجدول"</t>
  </si>
  <si>
    <t>5/18/2026 2:19:35 AM</t>
  </si>
  <si>
    <t>BE - [قائمة الرسوم] Unexpected error appeared while trying to save the fees section</t>
  </si>
  <si>
    <t>5/18/2026 2:20:21 AM</t>
  </si>
  <si>
    <t>BE - [قائمة الرسوم] The system should not calculate fees on the lawyer who has a valid اعفاء ضريبي and "درجة المحامي" = "محامي اصيل"</t>
  </si>
  <si>
    <t>5/18/2026 2:21:21 AM</t>
  </si>
  <si>
    <t>FE - work with 57328</t>
  </si>
  <si>
    <t>5/18/2026 2:38:02 AM</t>
  </si>
  <si>
    <t>FE - work with 57322</t>
  </si>
  <si>
    <t>5/18/2026 2:38:11 AM</t>
  </si>
  <si>
    <t>FE - work with 57318</t>
  </si>
  <si>
    <t>5/18/2026 2:38:18 AM</t>
  </si>
  <si>
    <t>FE - work with 57314</t>
  </si>
  <si>
    <t>5/18/2026 2:39:05 AM</t>
  </si>
  <si>
    <t>FE - work with 57308</t>
  </si>
  <si>
    <t>5/18/2026 2:38:58 AM</t>
  </si>
  <si>
    <t>FE - work with 57095</t>
  </si>
  <si>
    <t>5/18/2026 2:38:50 AM</t>
  </si>
  <si>
    <t>FE - work with 57094</t>
  </si>
  <si>
    <t>5/18/2026 2:38:30 AM</t>
  </si>
  <si>
    <t>FE - work with 57092</t>
  </si>
  <si>
    <t>5/18/2026 2:38:36 AM</t>
  </si>
  <si>
    <t>FE - work with 57085</t>
  </si>
  <si>
    <t>5/18/2026 2:38:43 AM</t>
  </si>
  <si>
    <t>[البحث في القضايا \ الطلبات] User can enter more than 10 digits in رقم الطلب field</t>
  </si>
  <si>
    <t>5/18/2026 7:53:30 AM</t>
  </si>
  <si>
    <t>[مستخرجات عامة] Found that "البحث بالقضية \ الطلب" appear as  البحث في القضايا in screen مستخرجات عامة</t>
  </si>
  <si>
    <t>5/18/2026 7:54:37 AM</t>
  </si>
  <si>
    <t xml:space="preserve">[البحث في القضايا \ الطلبات] User can enter non numeric values in الرقم الموحد field </t>
  </si>
  <si>
    <t>5/18/2026 7:55:26 AM</t>
  </si>
  <si>
    <t>[البحث في القضايا \ الطلبات] User can search while رقم الطلب \ رقم القضية is 0</t>
  </si>
  <si>
    <t>5/18/2026 7:56:18 AM</t>
  </si>
  <si>
    <t>[البحث في القضايا \ الطلبات] User can enter more than 6 digits in رقم القضية field</t>
  </si>
  <si>
    <t>5/18/2026 7:58:10 AM</t>
  </si>
  <si>
    <t xml:space="preserve">[مطالبات] No validation is done on national id as can enter this "30001011234567" and 4444444444 and system accepts </t>
  </si>
  <si>
    <t>5/18/2026 7:59:26 AM</t>
  </si>
  <si>
    <t>BE Add Preambles</t>
  </si>
  <si>
    <t>5/18/2026 10:14:59 AM</t>
  </si>
  <si>
    <t>add applicant data</t>
  </si>
  <si>
    <t>5/18/2026 10:16:31 AM</t>
  </si>
  <si>
    <t>Bug 55040: [أنواع الطلبات المقابلة] The user should find the درجة النيابة المشرفة in section الطلبات المقابلة based on the selected prosecution degree of the prosecution request- FE</t>
  </si>
  <si>
    <t>5/18/2026 1:45:03 PM</t>
  </si>
  <si>
    <t>Enterprise-PPO-FamilyRevamp-4452\Iteration 1 - أعمال النيابات - الإعدادات</t>
  </si>
  <si>
    <t>Bug 55173: [ديباجات التحقيق] The system should display هذا الحقل مطلوب beside عضو النيابة field when select yes in مخصص لعضو النيابة-FE</t>
  </si>
  <si>
    <t>5/18/2026 11:47:16 AM</t>
  </si>
  <si>
    <t>Bug 55220: [ديباجات التحقيق] The user should find نص ديباجة فتح التحقيق , نص الديباجة ,نص ديباجة غلق التحقيق is rich text or text editor-FE</t>
  </si>
  <si>
    <t>5/18/2026 11:49:12 AM</t>
  </si>
  <si>
    <t>BE - [Global in UCM screens] Print "طباعة وجه الحافظة" adding</t>
  </si>
  <si>
    <t>5/18/2026 4:52:47 PM</t>
  </si>
  <si>
    <t>Enterprise-PPO-FamilyRevamp-4452</t>
  </si>
  <si>
    <t>BE - [Global in UCM screens] Print " قائمة بمستندات كل الحوافظ" creating and viewing the created folder</t>
  </si>
  <si>
    <t>5/18/2026 4:58:11 PM</t>
  </si>
  <si>
    <t>US-FAM-SPR-023-001: Create Certified Copies of Judgments (5.7.8.2.1)</t>
  </si>
  <si>
    <t>5/20/2026 10:13:03 AM</t>
  </si>
  <si>
    <t>Bug 57310: [ديباجات مذكرات اعضاء النيابة] The user should find نص مذكرة عضو النيابة ,ديباجة رأي النيابة is rich text or text editor-FE</t>
  </si>
  <si>
    <t>5/18/2026 12:20:20 PM</t>
  </si>
  <si>
    <t>(US-FAM-FSPR-003-001) Register Requests Submitted During Session - شاشة تسجيل الطلبات المقدمة أثناء الجلسة</t>
  </si>
  <si>
    <t>5/18/2026 12:21:23 PM</t>
  </si>
  <si>
    <t>Enterprise-PPO-FamilyRevamp-4452\أعمال الجلسات- Backlog</t>
  </si>
  <si>
    <t>(US-FAM-FSPR-003-003) Edit Request Submitted During Session - شاشة تعديل الطلبات المقدمة أثناء الجلسة</t>
  </si>
  <si>
    <t>5/18/2026 12:23:24 PM</t>
  </si>
  <si>
    <t>(US-FAM-FSPR-003-002) View Request Submitted During Session Details - شاشة استعراض الطلبات المقدمة أثناء الجلسة</t>
  </si>
  <si>
    <t>5/18/2026 12:24:01 PM</t>
  </si>
  <si>
    <t>Bug 57319: [ديباجات مذكرات اعضاء النيابة] Missing labels for نص مذكرة عضو النيابة ,ديباجة رأي النيابة in adding screen -FE</t>
  </si>
  <si>
    <t>5/18/2026 12:24:43 PM</t>
  </si>
  <si>
    <t>Bug 51263: [انواع طلبات اعمال نيابات] Found labels and titles should be corrected-FE</t>
  </si>
  <si>
    <t>5/18/2026 12:28:18 PM</t>
  </si>
  <si>
    <t>FE - BUGFIX User Story: US-FAM-FSPR-008-011 View My Requests Screen - 1.7.7.2.1 شاشة استعراض طلباتي</t>
  </si>
  <si>
    <t>5/18/2026 12:41:28 PM</t>
  </si>
  <si>
    <t>Bug 55275: [ديباجات التحقيق] The list of عضو النيابة should contains the correct users that have نوع المستخدم as عضو نيابة not all users that have تصنيف المستخدم as نيابة-FE</t>
  </si>
  <si>
    <t>5/18/2026 1:14:30 PM</t>
  </si>
  <si>
    <t>Bug Fixing - [المطالبات على القضية -تعديل طلب تقسيط] The system display error message when the super admin delete installment that the prosecution member approve it</t>
  </si>
  <si>
    <t>5/18/2026 2:54:32 PM</t>
  </si>
  <si>
    <t>BE - [Global in UCM screens] Print "طباعة وجه الحافظة" and " قائمة بمستندات كل الحوافظ" functions when creating and viewing the created folder</t>
  </si>
  <si>
    <t>5/18/2026 5:32:39 PM</t>
  </si>
  <si>
    <t>FE - bug fixing 57415</t>
  </si>
  <si>
    <t>5/19/2026 3:23:52 AM</t>
  </si>
  <si>
    <t>FE - bug fixing 57412</t>
  </si>
  <si>
    <t>5/19/2026 3:24:16 AM</t>
  </si>
  <si>
    <t>FE - bug fixing 57394</t>
  </si>
  <si>
    <t>5/19/2026 3:24:33 AM</t>
  </si>
  <si>
    <t>FE - bugfixing 57314</t>
  </si>
  <si>
    <t>5/19/2026 3:24:53 AM</t>
  </si>
  <si>
    <t>FE - bugfixing 57098</t>
  </si>
  <si>
    <t>5/19/2026 3:25:10 AM</t>
  </si>
  <si>
    <t>Bug 57421: [ديباجات مذكرات اعضاء النيابة] Incorrect screen title and header name of بنك ديباجات مذكرات اعضاء النيابة -FE</t>
  </si>
  <si>
    <t>5/19/2026 12:55:26 PM</t>
  </si>
  <si>
    <t>Bug 57419: [ديباجات مذكرات اعضاء النيابة] Missing the text content of نص مذكرة عضو النيابة and ديباجة رأي النيابة and تصنيف المذكرة in view screen -FE</t>
  </si>
  <si>
    <t>5/19/2026 12:56:41 PM</t>
  </si>
  <si>
    <t>Bug 51260: [انواع طلبات اعمال نيابات] The print button should be removed from search screen -FE</t>
  </si>
  <si>
    <t>5/19/2026 1:02:39 PM</t>
  </si>
  <si>
    <t>Bug 57236: [ديباجات التحقيق] Found incorrect عنوان الديباجة in the table and title of view screen -FE</t>
  </si>
  <si>
    <t>5/19/2026 1:05:42 PM</t>
  </si>
  <si>
    <t>BE - [قواعد التحقق قبل الإصدار]  System allows any case party to generate the document extract regardless of the judgment beneficiary status.</t>
  </si>
  <si>
    <t>5/19/2026 1:06:32 PM</t>
  </si>
  <si>
    <t>BE - [قواعد التحقق قبل الإصدار] The system accept to issue an extraction while that extraction is related to specific تصنيف جدول and the case is on different تصنيف جدول</t>
  </si>
  <si>
    <t>5/19/2026 1:08:15 PM</t>
  </si>
  <si>
    <t>BE - [مستخرجات عامة] Only first قرار is visible in استعراض القرار pop up, when there are multiple قرارات in the same جلسة</t>
  </si>
  <si>
    <t>5/19/2026 1:08:40 PM</t>
  </si>
  <si>
    <t>complete some missing lookups service&amp;Integration with FE-US-FAM-SPR-023-001: Create Certified Copies of Judgments (5.7.8.2.1)</t>
  </si>
  <si>
    <t>5/19/2026 3:31:25 PM</t>
  </si>
  <si>
    <t>[الاستعلام عن طلبات الاستخراج] User can print search results without searching</t>
  </si>
  <si>
    <t>5/19/2026 1:53:58 PM</t>
  </si>
  <si>
    <t>[Global issue in UCM screens] Print "طباعة وجه الحافظة" and " قائمة بمستندات كل الحوافظ" functions not working when creating and viewing the created folder</t>
  </si>
  <si>
    <t>5/19/2026 2:11:45 PM</t>
  </si>
  <si>
    <t>[ UCM screens] Print "طباعة وجه الحافظة" and " قائمة بمستندات كل الحوافظ"</t>
  </si>
  <si>
    <t>5/19/2026 2:17:20 PM</t>
  </si>
  <si>
    <t>BE - [قواعد التحقق قبل الإصدار] The system accept to issue an extraction before 40 days from the judgment date</t>
  </si>
  <si>
    <t>5/19/2026 2:22:38 PM</t>
  </si>
  <si>
    <t>Bug Fixing - [المطالبات على القضية -تسجيل طلب احالة] The list of الجهات is not working and not retrieving any entity</t>
  </si>
  <si>
    <t>5/19/2026 2:24:26 PM</t>
  </si>
  <si>
    <t>Bug Fixing - [المطالبات على القضية -تسجيل طلب احالة] The user should not find the already added debtor on the claim in the list of أحد اطراف الدعوي</t>
  </si>
  <si>
    <t>5/19/2026 2:25:25 PM</t>
  </si>
  <si>
    <t>Bug Fixing - [المطالبات على القضية- تسجيل سداد] The حساب المتجاوز عنة check box should not be displayed if If no إعلان exists and  تاريخ قيد المطالبة; if less than or equal to 90 days</t>
  </si>
  <si>
    <t>5/19/2026 3:27:04 PM</t>
  </si>
  <si>
    <t>Integration with FE-(US-FAM-FSPR-003-001) Register Requests Submitted During Session - شاشة تسجيل الطلبات المقدمة أثناء الجلسة</t>
  </si>
  <si>
    <t>5/20/2026 3:00:18 PM</t>
  </si>
  <si>
    <t>User Story 28498: US-FAM-SPR-015-001: Manage and Filter Case List for a Session (5.6.1.2.1)-FE</t>
  </si>
  <si>
    <t>5/19/2026 3:36:44 PM</t>
  </si>
  <si>
    <t>User Story 44829: User Story: US-FAM-FSPR-006-001 Register Basic Data for Historical Request Screen - 1.1.3.2.1 شاشة تسجيل البيانات الأساسية لطلب أعمال نيابات تاريخي- -FE</t>
  </si>
  <si>
    <t>5/19/2026 3:59:00 PM</t>
  </si>
  <si>
    <t>[MCIT Demo][الجلسات] Found unexpected changes in the data after saving استبعاد جلسة سابقة when viewing excluded past session</t>
  </si>
  <si>
    <t>5/19/2026 4:01:09 PM</t>
  </si>
  <si>
    <t>User Story 46413: (US-FAM-FSPR-002-001) Register Referral Details - تسجيل إحالة على القضية-FE</t>
  </si>
  <si>
    <t>5/19/2026 4:50:50 PM</t>
  </si>
  <si>
    <t>US-FAM-FSPR-001-016 View Search Results - شاشة نتائج البحث - BE Implementation</t>
  </si>
  <si>
    <t>5/19/2026 4:56:51 PM</t>
  </si>
  <si>
    <t>استعراض طلب اعمال النيابات - UI-Integration</t>
  </si>
  <si>
    <t>5/19/2026 5:14:17 PM</t>
  </si>
  <si>
    <t>User Story: US-FAM-FSPR-005-001 Track Requests Screen - 1.5.1.2.1 شاشة تتبع الطلبات - BE Implementation</t>
  </si>
  <si>
    <t>5/19/2026 5:17:27 PM</t>
  </si>
  <si>
    <t>[MCIT Demo][الجلسات] Can't select dates after SYSdate جلسة سابقة علي القضية in screen ادارة القضية - fixing bug</t>
  </si>
  <si>
    <t>5/19/2026 5:22:39 PM</t>
  </si>
  <si>
    <t>[MCIT Demo][الجلسات] Found validation error prevents us to create جلسة سابقة علي القضية in screen ادارة القضية - fixing bug</t>
  </si>
  <si>
    <t>5/19/2026 5:25:57 PM</t>
  </si>
  <si>
    <t>[MCIT Demo][الجلسات] Found unexpected changes in the data after saving استبعاد جلسة سابقة when viewing excluded past session  - BE Implementation</t>
  </si>
  <si>
    <t>5/19/2026 5:32:29 PM</t>
  </si>
  <si>
    <t>[MCIT Demo][الجلسات] Found cases in the report of الجلسات الغير مسدده with incorrect session date - fixing bug</t>
  </si>
  <si>
    <t>5/19/2026 5:39:43 PM</t>
  </si>
  <si>
    <t>US-FAM-SPR-007-002: Exclude a Session from Case Sessions (5.4.4) - BE Implementation</t>
  </si>
  <si>
    <t>5/19/2026 5:44:29 PM</t>
  </si>
  <si>
    <t>FE - INTEGRATION User Story Title: Edit Lawyer Details for Attendance Recording - شاشة تعديل بيانات محامي لإثبات حضوره بالجلسة</t>
  </si>
  <si>
    <t>5/19/2026 5:52:06 PM</t>
  </si>
  <si>
    <t>FE - INTEGRATION User Story Title: View Lawyer Details for Attendance Recording - شاشة استعراض بيانات محامي لإثبات حضوره بالجلسة</t>
  </si>
  <si>
    <t>5/19/2026 5:52:26 PM</t>
  </si>
  <si>
    <t>User Story: US-FAM-FSPR-005-001 Track Requests Screen - 1.5.1.2.1 شاشة تتبع الطلبات &amp; Add user principal prosecution types</t>
  </si>
  <si>
    <t>5/19/2026 5:52:33 PM</t>
  </si>
  <si>
    <t>FE - INTEGRATION User Story Title: Edit Power of Attorney Details for a Lawyer in Session - شاشة تعديل بيانات توكيل لمحامي من الحضور للجلسة</t>
  </si>
  <si>
    <t>5/19/2026 5:52:43 PM</t>
  </si>
  <si>
    <t>FE - INTEGRATION View Power of Attorney Details for a Lawyer in Session - شاشة استعراض بيانات توكيل لمحامي من الحضور للجلسة</t>
  </si>
  <si>
    <t>5/19/2026 5:52:59 PM</t>
  </si>
  <si>
    <t>[طلبات أعمال النيابات] The system remove the item which the user deactivate it  - fixing bug</t>
  </si>
  <si>
    <t>5/19/2026 5:58:26 PM</t>
  </si>
  <si>
    <t>Bug Fixing - [المطالبات على القضية -تسجيل اقالة] The request اقالة didn't redirect to عضو النيابة</t>
  </si>
  <si>
    <t>5/19/2026 6:30:57 PM</t>
  </si>
  <si>
    <t>Bug Fixing - [المطالبات على القضية- تسجيل سداد] The system should allow the user to create payment for claim belongs to different prosecution by searching with proof number</t>
  </si>
  <si>
    <t>5/21/2026 10:50:02 AM</t>
  </si>
  <si>
    <t>[57400] Bug Fixing: [مستخرجات عامة] Found that Error appear when try to click on اصدار المستخرج button</t>
  </si>
  <si>
    <t>5/19/2026 9:25:34 PM</t>
  </si>
  <si>
    <t>[57440] Bug Fixing: [الاستعلام عن الاستخراج] Found that filtration with تاريخ الطلب من not working  in الاستعلام عن طلبات الاستخراج</t>
  </si>
  <si>
    <t>5/19/2026 9:25:28 PM</t>
  </si>
  <si>
    <t>[46032] Implementation and insert Parameters into Preambles</t>
  </si>
  <si>
    <t>5/19/2026 9:44:51 PM</t>
  </si>
  <si>
    <t>BE - [قواعد التحقق قبل الإصدار] The system accept to issue an extraction while that are related to specific decision and the case has another decision</t>
  </si>
  <si>
    <t>5/19/2026 9:55:51 PM</t>
  </si>
  <si>
    <t>BE - [قواعد التحقق قبل الإصدار] The system accept to issue an extraction while that are related in the "يشترط إصدار مستخرج سابق" list is not issued</t>
  </si>
  <si>
    <t>5/20/2026 1:09:57 AM</t>
  </si>
  <si>
    <t>BE - [قواعد التحقق قبل الإصدار] The system accept to issue an extraction while that extraction is related to specific نوع دعوي and the case has a different type of نوع الدعوي</t>
  </si>
  <si>
    <t>5/20/2026 1:35:17 AM</t>
  </si>
  <si>
    <t>5/21/2026 10:01:01 AM</t>
  </si>
  <si>
    <t>PPO - NTRA - Integration - التكامل مع حدمة التحقق من رقم الهاتف</t>
  </si>
  <si>
    <t>5/21/2026 9:17:50 PM</t>
  </si>
  <si>
    <t>FE - fixing bugs 57439</t>
  </si>
  <si>
    <t>5/20/2026 2:56:59 PM</t>
  </si>
  <si>
    <t>FE - fixing bugs 57485</t>
  </si>
  <si>
    <t>5/20/2026 2:59:43 PM</t>
  </si>
  <si>
    <t>FE - fixing bugs 57486</t>
  </si>
  <si>
    <t>5/20/2026 2:59:50 PM</t>
  </si>
  <si>
    <t>FE - fixing bugs 57618</t>
  </si>
  <si>
    <t>5/20/2026 2:59:57 PM</t>
  </si>
  <si>
    <t>FE - fixing bugs 57627</t>
  </si>
  <si>
    <t>5/20/2026 3:00:04 PM</t>
  </si>
  <si>
    <t>integrate with FE-User Story Title: Edit Lawyer Details for Attendance Recording - شاشة تعديل بيانات محامي لإثبات حضوره بالجلسة</t>
  </si>
  <si>
    <t>5/20/2026 3:21:57 PM</t>
  </si>
  <si>
    <t>Integrate with FE-User Story Title: View Lawyer Details for Attendance Recording - شاشة استعراض بيانات محامي لإثبات حضوره بالجلسة</t>
  </si>
  <si>
    <t>5/20/2026 3:23:16 PM</t>
  </si>
  <si>
    <t>integrate with FE-User Story Title: Edit Power of Attorney Details for a Lawyer in Session - شاشة تعديل بيانات توكيل لمحامي من الحضور للجلسة</t>
  </si>
  <si>
    <t>5/20/2026 3:24:31 PM</t>
  </si>
  <si>
    <t>integrate with FE -View Power of Attorney Details for a Lawyer in Session - شاشة استعراض بيانات توكيل لمحامي من الحضور للجلسة</t>
  </si>
  <si>
    <t>5/20/2026 3:25:26 PM</t>
  </si>
  <si>
    <t>User Story 57608: (US-FAM-FSPR-001-001) View Request Review Elements List - شاشة استعراض طلب أعمال النيابات- FE</t>
  </si>
  <si>
    <t>5/20/2026 3:27:58 PM</t>
  </si>
  <si>
    <t>BE - [قواعد التحقق قبل الإصدار] The system can not select documents from the related case or the original case</t>
  </si>
  <si>
    <t>5/20/2026 3:44:36 PM</t>
  </si>
  <si>
    <t>BE - [استعلام عن الاستخراج] Found that no data retrieved inالاستعلام عن طلبات الاستخراج in case the قضية contain records in DB in table of cases</t>
  </si>
  <si>
    <t>5/20/2026 4:16:29 PM</t>
  </si>
  <si>
    <t xml:space="preserve">update in form and table </t>
  </si>
  <si>
    <t>5/20/2026 5:09:45 PM</t>
  </si>
  <si>
    <t>check api with coulmns table and link view btns</t>
  </si>
  <si>
    <t>5/20/2026 5:10:46 PM</t>
  </si>
  <si>
    <t xml:space="preserve">update form lookups and add validation for inputs </t>
  </si>
  <si>
    <t>5/20/2026 5:11:47 PM</t>
  </si>
  <si>
    <t>US-FAM-SPR-015-007: View and Pay Lawyer Fees for a Session (5.6.1.4)</t>
  </si>
  <si>
    <t>5/20/2026 9:05:37 PM</t>
  </si>
  <si>
    <t>Bug 57660: [ديباجات مذكرات اعضاء النيابة] Found some fields read only in edit screen FE</t>
  </si>
  <si>
    <t>5/21/2026 2:41:09 AM</t>
  </si>
  <si>
    <t>User Story 46413: (US-FAM-FSPR-002-001) Register Referral Details - تسجيل إحالة على القضية- FE</t>
  </si>
  <si>
    <t>5/21/2026 2:43:16 AM</t>
  </si>
  <si>
    <t>User Story 46413: (US-FAM-FSPR-002-001) Register Referral Details - تسجيل إحالة على القضية -fe</t>
  </si>
  <si>
    <t>5/21/2026 2:44:07 AM</t>
  </si>
  <si>
    <t>Bug 57629: [الموضوعات] Found some of fields are editable and others read-only like درجة النيابة و تصنيف الطلب و نوع الطلب -FE</t>
  </si>
  <si>
    <t>5/21/2026 3:08:00 AM</t>
  </si>
  <si>
    <t>FE - INTEGRATION ENHANCEMENT in User Story Title: Edit Lawyer Details for Attendance Recording - شاشة تعديل بيانات محامي لإثبات حضوره بالجلسة</t>
  </si>
  <si>
    <t>5/21/2026 3:07:25 AM</t>
  </si>
  <si>
    <t>FE - ADDED INTEGRATION ENHANCEMENT in User Story Title: Edit Power of Attorney Details for a Lawyer in Session - شاشة تعديل بيانات توكيل لمحامي من الحضور للجلسة</t>
  </si>
  <si>
    <t>5/21/2026 3:07:55 AM</t>
  </si>
  <si>
    <t>Bug 57653: [نماذج القرارات الادارية] Found some fields read only in edit screen -Fe</t>
  </si>
  <si>
    <t>5/21/2026 3:15:55 AM</t>
  </si>
  <si>
    <t>Bug 57597: [نماذج القرارات الإدارية ] The user should find عنوان نموذج القرار and نص ديباجة الإعلان is rich text or text editor -FE</t>
  </si>
  <si>
    <t>5/21/2026 3:18:42 AM</t>
  </si>
  <si>
    <t>Bug Fixing - [المطالبات على القضية- تسجيل سداد] The user find حساب المتجاوز عنة is checked when navigating to edit screen</t>
  </si>
  <si>
    <t>5/21/2026 10:52:09 AM</t>
  </si>
  <si>
    <t>User Story 28481: US-FAM-SPR-008-001: View and Print Previous Session Decisions for a Case (5.4.5.2.1)-FE</t>
  </si>
  <si>
    <t>5/21/2026 11:20:38 AM</t>
  </si>
  <si>
    <t>FE _ ENHANCEMENT AND MODIFICATIONS IN REUSABLE COMPONENT US-FAM-SPR-015-005: Add New Party for Attendance Recording (5.6.1.3.3)</t>
  </si>
  <si>
    <t>5/21/2026 5:57:57 PM</t>
  </si>
  <si>
    <t>Technical Leadership Decisions- UCM</t>
  </si>
  <si>
    <t>5/21/2026 3:02:04 PM</t>
  </si>
  <si>
    <t>Bug Fixing - Bug 57626: [استعلام عن الاستخراج] Found that the name of headers of results table not as in US in استعلام عن الاستخراج</t>
  </si>
  <si>
    <t>5/21/2026 3:08:50 PM</t>
  </si>
  <si>
    <t>Bug Fixing: Bug 57631: [استعلام عن الاستخراج] Found that section named معايير البحث المستخدمة appear in report of الاستخراجات المصدرة على القضية in استعلام عن الاستخراج</t>
  </si>
  <si>
    <t>5/21/2026 3:10:14 PM</t>
  </si>
  <si>
    <t>Bug fixing: Bug 57621: [استعلام عن الاستخراج] Found that the error appear when click on بحث on طلب مؤقت in استعلام عن الاستخراج</t>
  </si>
  <si>
    <t>5/21/2026 3:11:36 PM</t>
  </si>
  <si>
    <t>Bug fixing: Bug 57623: [الاستعلام عن المطالبات] Report is displayed with all مطالبات regardless of selected ones in the search result table</t>
  </si>
  <si>
    <t>5/21/2026 3:11:49 PM</t>
  </si>
  <si>
    <t>Bug Fixing- Bug 57439: [الاستعلام عن الاستخراج] Found that رقم الطلب appear wrong in both paid and not paid requests in الاستعلام عن طلبات الاستخراج</t>
  </si>
  <si>
    <t>5/21/2026 3:23:56 PM</t>
  </si>
  <si>
    <t>Bug fixing- Bug 57406: [الاستعلام عن الاستخراج] Found that error appear when choose any choice from ddl النيابة المشرفة in الاستعلام عن طلبات الاستخراج</t>
  </si>
  <si>
    <t>5/21/2026 3:24:00 PM</t>
  </si>
  <si>
    <t>Bug Fixing - Bug 57433: [الاستعلام عن الاستخراج] Found that error appear when click on ddl الدرجة in الاستعلام عن طلبات الاستخراج</t>
  </si>
  <si>
    <t>5/21/2026 3:24:03 PM</t>
  </si>
  <si>
    <t>Bug Fixing - Bug 57416: [الاستعلام عن الاستخراج] Found that ddl النيابة المشرفة in الاستعلام عن طلبات الاستخراج retrieved wrong data</t>
  </si>
  <si>
    <t>5/21/2026 3:24:06 PM</t>
  </si>
  <si>
    <t xml:space="preserve">Refactor implementation </t>
  </si>
  <si>
    <t>5/21/2026 3:26:53 PM</t>
  </si>
  <si>
    <t>Bug Fixing - [المطالبات- البحث المتقدم] The search print result show the data of تاريخ الجلسة wrong</t>
  </si>
  <si>
    <t>5/21/2026 4:11:34 PM</t>
  </si>
  <si>
    <t>Bug Fixing - [المطالبات - اضافة مدين] Found error message appear "هذ الحقل مطلوب" when select جهة from drop-down list of اطراف الدعوى</t>
  </si>
  <si>
    <t>5/21/2026 4:12:10 PM</t>
  </si>
  <si>
    <t>Bug Fixing - [المطالبات على القضية - اضافة مطالبة تاريخية] When try to add مطالبة تاريخية while exist on the system, the system return error message "لا توجد سنة مالية مطابقة لتاريخ قيد المطالبة"}" while the claim number is duplicate</t>
  </si>
  <si>
    <t>5/21/2026 4:12:47 PM</t>
  </si>
  <si>
    <t>NTRA integration with front-end</t>
  </si>
  <si>
    <t>5/21/2026 4:20:20 PM</t>
  </si>
  <si>
    <t>Bug 57743: [ديباجات التحقيق] Found some fields read only in edit screen -FE</t>
  </si>
  <si>
    <t>5/21/2026 5:10:31 PM</t>
  </si>
  <si>
    <t>Edit Party Acknowledgment of Session Date - شاشة تعديل موقف اعلان الأطراف بموعد الجلسة</t>
  </si>
  <si>
    <t>5/21/2026 5:22:22 PM</t>
  </si>
  <si>
    <t>Manage and View Case Sessions, Parties, Lawyers, and Documents (5.4.1.2.1)</t>
  </si>
  <si>
    <t>5/21/2026 5:23:19 PM</t>
  </si>
  <si>
    <t>Bug Fixing - [المطالبات على القضية- تسجيل سداد] The system did not update حالة المطالبة and موقف المطالبة after the user pay the claim with سداد كلي</t>
  </si>
  <si>
    <t>5/21/2026 5:46:12 PM</t>
  </si>
  <si>
    <t>Bug Fixing - [المطالبات - تعديل مدين] The system show error message "خطأ داخلي في الخادم" when try to open edit debtor type جهة</t>
  </si>
  <si>
    <t>5/21/2026 5:47:03 PM</t>
  </si>
  <si>
    <t>US-FAM-SPR-018-008: Distribute Request to Prosecution Members (5.7.13.2.1)</t>
  </si>
  <si>
    <t>5/21/2026 6:36:45 PM</t>
  </si>
  <si>
    <t>Enterprise-PPO-FamilyRevamp-4452\Iteration 5 - اعمال الجلسات</t>
  </si>
  <si>
    <t>PPO - NTRA - Integration - التكامل مع حدمة التحقق من رقم الهاتف - incentive</t>
  </si>
  <si>
    <t>5/21/2026 9:18:03 PM</t>
  </si>
  <si>
    <t>Bug Fixing - 57781</t>
  </si>
  <si>
    <t>5/22/2026 5:02:49 PM</t>
  </si>
  <si>
    <t>Bug Fixing - 57777</t>
  </si>
  <si>
    <t>5/22/2026 5:27:18 PM</t>
  </si>
  <si>
    <t>FE - work bug fixing 57626</t>
  </si>
  <si>
    <t>5/23/2026 7:12:09 PM</t>
  </si>
  <si>
    <t>FE- work bug fixing 57722</t>
  </si>
  <si>
    <t>5/23/2026 7:12:21 PM</t>
  </si>
  <si>
    <t>FE - bug fixing 57742</t>
  </si>
  <si>
    <t>5/23/2026 7:12:46 PM</t>
  </si>
  <si>
    <t xml:space="preserve">FE - enhancment code </t>
  </si>
  <si>
    <t>5/23/2026 7:13:38 PM</t>
  </si>
  <si>
    <t>BE - [الاستعلام عن الاستخراج] Found that  error appear when enter data in field  موظف قيد الاستخراج in الاستعلام عن طلبات الاستخراج</t>
  </si>
  <si>
    <t>5/23/2026 9:46:06 PM</t>
  </si>
  <si>
    <t>BE - [استعلام عن الاستخراج] Found that the نوع القرار and قرار not retrieved all data in جلسات after click on استعراض القرار in مستخرجات عامة also, the  نوع القرار is written in column of القرار</t>
  </si>
  <si>
    <t>5/24/2026 1:16:14 PM</t>
  </si>
  <si>
    <t>Bug Fixing - 57819</t>
  </si>
  <si>
    <t>5/24/2026 1:22:02 PM</t>
  </si>
  <si>
    <t>Customer Visit 21-5-2026</t>
  </si>
  <si>
    <t>5/24/2026 1:22:01 PM</t>
  </si>
  <si>
    <t>Customer Visit 11-5-2026</t>
  </si>
  <si>
    <t>5/24/2026 1:22:36 PM</t>
  </si>
  <si>
    <t>BE - [قواعد التحقق قبل الإصدار] Document Serial Number Counter Is Shared Between “نفس” and “مال” Documents</t>
  </si>
  <si>
    <t>5/24/2026 1:27:31 PM</t>
  </si>
  <si>
    <t>Bug Fixing - 57973</t>
  </si>
  <si>
    <t>5/24/2026 2:23:50 PM</t>
  </si>
  <si>
    <t>US-FAM-SPR-015-001: Manage and Filter Case List for a Session (5.6.1.2.1) - BE Implementation - Dynamic Sorting</t>
  </si>
  <si>
    <t>5/24/2026 3:04:44 PM</t>
  </si>
  <si>
    <t>BE - [الحكم لصالح مقدم الطلب ] Unexpected error message appear when the applicant is the lawyer representing the judgment beneficiary.</t>
  </si>
  <si>
    <t>5/24/2026 4:48:22 PM</t>
  </si>
  <si>
    <t xml:space="preserve">FE - INTEGRATION NEW ADJUSTMENT FOR SESSIONS AND MISSIONS </t>
  </si>
  <si>
    <t>5/24/2026 5:02:54 PM</t>
  </si>
  <si>
    <t>REFACTOR INVESTIGATION REUSABLE COMPONENT FOR MISSIONS AND SESSIONS in User Story: US-FAM-FSPR-002-001 Investigation Minutes Screen - 1.2.1.1.1.1 شاشة محضر التحقيق</t>
  </si>
  <si>
    <t>5/24/2026 5:05:08 PM</t>
  </si>
  <si>
    <t>BE - [استخراج شهادة بالحجر] حدث خطأ ما error when user clicks on عرض التقرير or اصدار المستخرج</t>
  </si>
  <si>
    <t>5/24/2026 6:23:27 PM</t>
  </si>
  <si>
    <t>User Story: US-FAM-FSPR-006-001 Register Basic Data for Historical Request Screen - 1.1.3.2.1 شاشة تسجيل البيانات الأساسية لطلب أعمال نيابات تاريخي</t>
  </si>
  <si>
    <t>5/24/2026 6:29:26 PM</t>
  </si>
  <si>
    <t>[المطالبات على القضية -تسجيل اقالة] The printed document not contain all data and it's design need to be like the US</t>
  </si>
  <si>
    <t>Mostafa Shokry &lt;INTERCOM\Mostafa.Shokry&gt;</t>
  </si>
  <si>
    <t>5/24/2026 7:43:53 PM</t>
  </si>
  <si>
    <t>[المطالبات- البحث المتقدم] The search print result show the data of تاريخ الجلسة wrong</t>
  </si>
  <si>
    <t>5/24/2026 7:45:45 PM</t>
  </si>
  <si>
    <t>BE - [اشكال في التنفيذ] Found that Case data not retrieved after click on اختيار in اشكال في التنفيذ service after step of the fees</t>
  </si>
  <si>
    <t>5/24/2026 7:48:59 PM</t>
  </si>
  <si>
    <t>[المطالبات على القضية- تسجيل سداد] The system should update موقف المطالبة to سداد جزئي after payment if there is no fees registered in the system</t>
  </si>
  <si>
    <t>5/24/2026 7:52:54 PM</t>
  </si>
  <si>
    <t>[إحصائيات المطالبات السنوية] The Table not show the value of اسم النيابة complete</t>
  </si>
  <si>
    <t>5/24/2026 7:54:10 PM</t>
  </si>
  <si>
    <t>5/24/2026 7:54:52 PM</t>
  </si>
  <si>
    <t>[المطالبات على القضية -تعديل تظلم] The system should prevent adding more than 10 digits in القيمة المعدلة بعد التظلم</t>
  </si>
  <si>
    <t>5/24/2026 7:55:26 PM</t>
  </si>
  <si>
    <t>[المطالبات على القضية -تسجيل طلب احالة] Found system show error message "بيانات النيابة مطلوبة لإحالة إلى نيابة" when Click on حفظ without fill النيابة الجزئية</t>
  </si>
  <si>
    <t>5/24/2026 7:55:57 PM</t>
  </si>
  <si>
    <t>[المطالبات على القضية -تسجيل اضافة متعذر تحصيله] The system should display تنسيق التاريخ غير صحيح when enter chars in dates fields</t>
  </si>
  <si>
    <t>5/24/2026 7:56:24 PM</t>
  </si>
  <si>
    <t>[المطالبات على القضية - تعديل متعذر تحصيله] The system not update the تاريخ الاضافة</t>
  </si>
  <si>
    <t>5/24/2026 7:57:16 PM</t>
  </si>
  <si>
    <t>[إحصائيات المطالبات - تقرير بالمطالبات] Found the system show error message "هذا الحقل مطلوب" when edit date's in fields تاريخ من &amp; تاريخ الى</t>
  </si>
  <si>
    <t>5/24/2026 7:57:50 PM</t>
  </si>
  <si>
    <t>[المطالبات على القضية -تعديل إحالة] The system should open the edit screen with the correct selected debtor type</t>
  </si>
  <si>
    <t>5/24/2026 7:58:20 PM</t>
  </si>
  <si>
    <t>[المطالبات على القضية - عرض مطالبات القضية] The data of column "تاريخ الجلسة" appear wrong</t>
  </si>
  <si>
    <t>5/24/2026 7:59:17 PM</t>
  </si>
  <si>
    <t>[المطالبات على القضية- تسجيل سداد] The system should display the full name of the debtor when the debtor type is طرف من اطراف الدعوي</t>
  </si>
  <si>
    <t>5/24/2026 8:00:14 PM</t>
  </si>
  <si>
    <t>[المطالبات- البحث المتقدم] The search result show the claim have تاريخ الجلسة while in the claim not linked to تاريخ جلسة</t>
  </si>
  <si>
    <t>5/24/2026 8:00:50 PM</t>
  </si>
  <si>
    <t>[المطالبات على القضية - اضافة مطالبة تاريخية] Found no error message appear when user select date not related to any سنة مالية defined in the system</t>
  </si>
  <si>
    <t>5/24/2026 8:01:24 PM</t>
  </si>
  <si>
    <t>[المطالبات على القضية -تسجيل طلب استرداد] Found list of اسم مقدم الطلب contain only اطراف الدعوى not the المدينيين which added to the claim</t>
  </si>
  <si>
    <t>5/24/2026 8:01:55 PM</t>
  </si>
  <si>
    <t>[المطالبات على القضية -تسجيل طلب استرداد] The date format appear wrong with field "تاريخ طلب الاسترداد" as mm/dd/yyyy</t>
  </si>
  <si>
    <t>5/24/2026 8:03:42 PM</t>
  </si>
  <si>
    <t>[المطالبات على القضية- تسجيل سداد] The system should not re subtract the partial paid amount from the required amount in the edit screen</t>
  </si>
  <si>
    <t>5/24/2026 8:04:15 PM</t>
  </si>
  <si>
    <t>[المطالبات على القضية- تسجيل سداد] The system display القيمة المعفاة in القيمة المسددة when check on حساب المتجاوز عنة</t>
  </si>
  <si>
    <t>5/24/2026 8:04:44 PM</t>
  </si>
  <si>
    <t>[ المطالبات على القضية - اضافة مطالبة تاريخية &amp; اضافة مطالبة] Found the title نص الحكم\القرار retrieve overlap the data in نص الحكم\القرار</t>
  </si>
  <si>
    <t>5/24/2026 8:05:11 PM</t>
  </si>
  <si>
    <t>[المطالبات على القضية- تسجيل سداد] The system should display تاريخ السداد only when no installments plan is registered</t>
  </si>
  <si>
    <t>5/24/2026 8:05:41 PM</t>
  </si>
  <si>
    <t>BE - [استخراج شهادة بالحجر] User cannot add a party if it was added before in قاعدة بيانات المحامين on the system</t>
  </si>
  <si>
    <t>5/24/2026 8:05:53 PM</t>
  </si>
  <si>
    <t>[المطالبات على القضية- اضافة مطالبة تاريخية] The value of العام المالى not loaded after select the date</t>
  </si>
  <si>
    <t>5/24/2026 8:06:07 PM</t>
  </si>
  <si>
    <t>[إحصائيات المطالبات - إحصائيات المطالبات المحصلة - تقرير بالمطالبات] The system accept the value of الى تاريخ lower than the value of من تاريخ</t>
  </si>
  <si>
    <t>5/24/2026 8:06:39 PM</t>
  </si>
  <si>
    <t>[إحصائيات المطالبات - تقرير بالمطالبات] The search in drop-down list not working for السنة المالية - موقف المطالبة - حالة المطالبة</t>
  </si>
  <si>
    <t>5/24/2026 8:07:10 PM</t>
  </si>
  <si>
    <t>[إحصائيات المطالبات - إحصائيات المطالبات المحصلة - تقرير بالمطالبات] The system retrieved the النيابة الجزئية while not assigned to the user</t>
  </si>
  <si>
    <t>5/24/2026 8:07:38 PM</t>
  </si>
  <si>
    <t>[المطالبات على القضية- الاجراءات] The user with permission اضافة اجراء cannot find the اضافة button</t>
  </si>
  <si>
    <t>5/24/2026 8:08:00 PM</t>
  </si>
  <si>
    <t>[المطالبات على القضية- الاجراءات] Unexpected error appeared when the authorized user try to edit existing procedure</t>
  </si>
  <si>
    <t>5/24/2026 8:15:05 PM</t>
  </si>
  <si>
    <t>[المطالبات على القضية- الاجراءات] Need to remove the delete button from screen الاجراءات for the normal user</t>
  </si>
  <si>
    <t>5/24/2026 8:15:27 PM</t>
  </si>
  <si>
    <t>[إحصائيات المطالبات السنوية] The system not handle if try to print report contain more than one نيابة جزئية</t>
  </si>
  <si>
    <t>5/24/2026 8:15:55 PM</t>
  </si>
  <si>
    <t>[المطالبات على القضية- التظلمات] The user with permission اضافة تظلم cannot find the اضافة button</t>
  </si>
  <si>
    <t>5/24/2026 8:16:39 PM</t>
  </si>
  <si>
    <t>[المطالبات على القضية- السداد] The user with permission اضافة معاملة سداد cannot find the اضافة button</t>
  </si>
  <si>
    <t>5/24/2026 8:17:12 PM</t>
  </si>
  <si>
    <t>[المطالبات على القضيةة] المعاملات Icon is not displayed if the user did not have permission إضافة اجراء  sup permission</t>
  </si>
  <si>
    <t>5/24/2026 8:17:47 PM</t>
  </si>
  <si>
    <t>[المطالبات على القضية- تعديل سداد] The system create new  payment row when the user attempt to edit existing payment row</t>
  </si>
  <si>
    <t>5/24/2026 8:19:25 PM</t>
  </si>
  <si>
    <t>[المطالبات على القضية-تسجيل سداد] The system display incorrect validation message when entre decimal in رسم التنفيذ</t>
  </si>
  <si>
    <t>5/24/2026 8:19:52 PM</t>
  </si>
  <si>
    <t>[المطالبات على القضية -تسجيل طلب تقسيط - تعديل طلب تقسيط] System reject the dates values when typing it like dd/mm/yyyy for value 17/12/2025</t>
  </si>
  <si>
    <t>5/24/2026 8:20:18 PM</t>
  </si>
  <si>
    <t>[المطالبات على القضية- تسجيل سداد] The system should allow the user to enter بيانات الشخص القائم بالسداد when add new payment record</t>
  </si>
  <si>
    <t>5/24/2026 8:21:03 PM</t>
  </si>
  <si>
    <t>[المطالبات على القضية -تسجيل تظلم] The error message of field "سنة الدعوى" appear wrong</t>
  </si>
  <si>
    <t>5/24/2026 8:21:27 PM</t>
  </si>
  <si>
    <t>[المطالبات على القضية -تسجيل تظلم] The field "رقم الدعوى" accept char while it should accept numbers only</t>
  </si>
  <si>
    <t>5/24/2026 8:21:52 PM</t>
  </si>
  <si>
    <t>[المطالبات على القضية -تسجيل تظلم] The system denied the user to add new تظلم while didn't select نتيجة التظلم</t>
  </si>
  <si>
    <t>5/24/2026 8:22:22 PM</t>
  </si>
  <si>
    <t>[المطالبات على القضية -تسجيل تظلم] The system show error message "قيمة المطالبة لا يمكن أن تتجاوز الحد المسموح"</t>
  </si>
  <si>
    <t>5/24/2026 8:22:52 PM</t>
  </si>
  <si>
    <t>[المطالبات على القضية -تسجيل تظلم] Found the system accept to add رقم الدعوى &amp; سنة الدعوى as 0</t>
  </si>
  <si>
    <t>5/24/2026 8:23:13 PM</t>
  </si>
  <si>
    <t>[المطالبات على القضية -تسجيل اضافة طلب تقسيط ] The user should find القيمة الاجمالية للتقسيط as read only field</t>
  </si>
  <si>
    <t>5/24/2026 8:23:35 PM</t>
  </si>
  <si>
    <t>[المطالبات على القضية -تسجيل اضافة طلب تقسيط ] Need to add proper validation message when enter more than 2 digits in الفترة بين الاقساط</t>
  </si>
  <si>
    <t>5/24/2026 8:24:00 PM</t>
  </si>
  <si>
    <t>[المطالبات على القضية -تسجيل اضافة طلب تقسيط] Need to handle the error message that displayed when the user enter installment amounts that sum up to more than the القيمة الإجمالية للتقسيط</t>
  </si>
  <si>
    <t>5/24/2026 8:24:40 PM</t>
  </si>
  <si>
    <t>[General] Found the table grid of the data of المدينيين - المعاملات - الاجراءات didn't appear while the user have permission on service of add</t>
  </si>
  <si>
    <t>5/24/2026 8:25:14 PM</t>
  </si>
  <si>
    <t>[General] Found the user can access عرض المطالبة while it wasn't have the permission</t>
  </si>
  <si>
    <t>5/24/2026 8:25:34 PM</t>
  </si>
  <si>
    <t>[المطالبات على القضية -تسجيل اضافة طلب تقسيط] The system should prevent adding the first installment in the past</t>
  </si>
  <si>
    <t>5/24/2026 8:25:59 PM</t>
  </si>
  <si>
    <t>[General] Found the user can't access any معاملة for edit or view while he didn't have permission to add</t>
  </si>
  <si>
    <t>5/24/2026 8:26:20 PM</t>
  </si>
  <si>
    <t>[المطالبات على القضية -تسجيل تظلم- تعديل التظلم] The system show error message "قيمة المطالبة لا يمكن أن تتجاوز الحد المسموح" when fill رقم الدعوى with value exceed 20 number</t>
  </si>
  <si>
    <t>5/24/2026 8:26:46 PM</t>
  </si>
  <si>
    <t>[المطالبات على القضية -تسجيل تظلم- تعديل تظلم] System reject the dates values when typing it like dd/mm/yyyy for value 17/12/2025</t>
  </si>
  <si>
    <t>5/24/2026 8:28:31 PM</t>
  </si>
  <si>
    <t>[المطالبات على القضية -تسجيل تظلم - تعديل تظلم] The search in drop-down of نتيجة التظلم not working</t>
  </si>
  <si>
    <t>5/24/2026 8:29:01 PM</t>
  </si>
  <si>
    <t>[المطالبات على القضية- تسجيل سداد] The system should display the installments that related to the selected debtor only not all installment for all debtors</t>
  </si>
  <si>
    <t>5/24/2026 8:29:25 PM</t>
  </si>
  <si>
    <t>[المطالبات على القضية -تسجيل طلب تقسيط] The user should find حالة القسط field in the installments table</t>
  </si>
  <si>
    <t>5/24/2026 8:29:50 PM</t>
  </si>
  <si>
    <t>[المطالبات على القضية -تسجيل طلب تقسيط] The system should prevent adding 10 digits in قيمة القسط</t>
  </si>
  <si>
    <t>5/24/2026 8:30:20 PM</t>
  </si>
  <si>
    <t>[المطالبات على القضية -تعديل طلب تقسيط] The system displayed the entered notes in all installment record in the table and the system did not allow to edit it</t>
  </si>
  <si>
    <t>5/24/2026 8:30:42 PM</t>
  </si>
  <si>
    <t>[المطالبات على القضية -تعديل طلب تقسيط] The system should display "هذا الحقل مطلوب" beside the empty قيمة in the installment table</t>
  </si>
  <si>
    <t>5/24/2026 8:31:04 PM</t>
  </si>
  <si>
    <t>[المطالبات على القضية] Found the "آخر إجراء / معاملة" appear contain value "إعفاء من الرسوم"</t>
  </si>
  <si>
    <t>5/24/2026 8:31:46 PM</t>
  </si>
  <si>
    <t>[المطالبات على القضية- تسجيل سداد] The system should not display the installment plan for the selected debtor although the prosecution member did not approve the plan</t>
  </si>
  <si>
    <t>5/24/2026 8:32:30 PM</t>
  </si>
  <si>
    <t>[المطالبات على القضية -تعديل طلب استرداد] The data of "هل تمت الموافقة" not saved while trying to edit the طلب الاسترداد</t>
  </si>
  <si>
    <t>5/24/2026 8:33:02 PM</t>
  </si>
  <si>
    <t>[المطالبات على القضية -تسجيل إحالة] The system should display هذا الحقل مطلوب beside each mandatory field</t>
  </si>
  <si>
    <t>5/24/2026 8:33:23 PM</t>
  </si>
  <si>
    <t>[المطالبات على القضية -تعديل إحالة] The user without permission تعديل الاحالة should not find the edit button</t>
  </si>
  <si>
    <t>5/24/2026 8:33:51 PM</t>
  </si>
  <si>
    <t>[المطالبات على القضية -تعديل إحالة] The system did not save any updates on the existing referral</t>
  </si>
  <si>
    <t>5/24/2026 8:34:13 PM</t>
  </si>
  <si>
    <t>[المطالبات على القضية -تعديل إحالة] The user should be able to edit المبلغ المطلوب</t>
  </si>
  <si>
    <t>5/24/2026 8:34:37 PM</t>
  </si>
  <si>
    <t>[المطالبات على القضية -تسجيل طلب احالة] The user should not find the already added debtor on the claim in the list of أحد اطراف الدعوي</t>
  </si>
  <si>
    <t>5/24/2026 8:35:10 PM</t>
  </si>
  <si>
    <t>[المطالبات على القضية -تسجيل طلب احالة] The list of الجهات is not working and not retrieving any entity</t>
  </si>
  <si>
    <t>5/24/2026 8:35:35 PM</t>
  </si>
  <si>
    <t>[المطالبات على القضية -تسجيل اضافة متعذر تحصيله - تعديل متعذر تحصيله] The system accept to add تاريخ الاضافة - تاريخ الترخيص بالتجاوز - تاريخ إجراء التسوية &lt; تاريخ المطالبة</t>
  </si>
  <si>
    <t>5/24/2026 8:36:04 PM</t>
  </si>
  <si>
    <t>[المطالبات على القضية - تعديل متعذر تحصيله] The user can't clear the values of تاريخ إجراء التسوية and تاريخ الترخيص بالتجاوز</t>
  </si>
  <si>
    <t>5/24/2026 8:36:27 PM</t>
  </si>
  <si>
    <t>[المطالبات على القضية -تسجيل طلب احالة] Found incorrect data appeared in the table not related to the added debtor</t>
  </si>
  <si>
    <t>5/24/2026 8:36:51 PM</t>
  </si>
  <si>
    <t>[المطالبات على القضية - تعديل متعذر تحصيله] The system not update the اسم المدين</t>
  </si>
  <si>
    <t>5/24/2026 8:37:14 PM</t>
  </si>
  <si>
    <t>[المطالبات على القضية -تسجيل اضافة متعذر تحصيله - تعديل متعذر تحصيله] No char counter appear for the fields of (جهة الترخيص - ملاحظات)</t>
  </si>
  <si>
    <t>5/24/2026 8:37:50 PM</t>
  </si>
  <si>
    <t>[المطالبات على القضية -تسجيل اضافة متعذر تحصيله ] System accept to add more than request for same debtor</t>
  </si>
  <si>
    <t>5/24/2026 8:38:12 PM</t>
  </si>
  <si>
    <t>[المطالبات على القضية ] System show value for تاريخ الجلسة while didn't select the value while adding claim</t>
  </si>
  <si>
    <t>5/24/2026 8:38:35 PM</t>
  </si>
  <si>
    <t>[المطالبات على القضية - التقسيط  ] System show value for تاريخ الجلسة while didn't select the value while adding claim</t>
  </si>
  <si>
    <t>5/24/2026 8:38:57 PM</t>
  </si>
  <si>
    <t>[المطالبات على القضية- تسجيل سداد] The system should not display the fees section when no fees is registered in the system</t>
  </si>
  <si>
    <t>5/24/2026 8:39:21 PM</t>
  </si>
  <si>
    <t>[المطالبات على القضية- تسجيل سداد] The settlement section should not displayed if no settlement request is found for the selected debtor</t>
  </si>
  <si>
    <t>5/24/2026 8:39:41 PM</t>
  </si>
  <si>
    <t>[المطالبات على القضية ] The system take long time for response when try to do any معاملة like متعذر تحصيله</t>
  </si>
  <si>
    <t>5/24/2026 8:40:34 PM</t>
  </si>
  <si>
    <t>[المطالبات على القضية -تسجيل طلب احالة] The search inside dropdown list اختيار من أحد اطراف الدعوي is not working</t>
  </si>
  <si>
    <t>5/24/2026 8:41:15 PM</t>
  </si>
  <si>
    <t>[المطالبات على القضية -تسجيل طلب احالة الى نيابة] Found the field قرار الجلسة not appear after select the جلسة</t>
  </si>
  <si>
    <t>5/24/2026 8:41:38 PM</t>
  </si>
  <si>
    <t>[المطالبات على القضية -تسجيل طلب احالة الى نيابة] Found the system accept to refer a claim to the same Niyaba where it is currently registered</t>
  </si>
  <si>
    <t>5/24/2026 8:41:59 PM</t>
  </si>
  <si>
    <t>[المطالبات على القضية -تسجيل طلب احالة] The search in drop-down of الجلسة not working</t>
  </si>
  <si>
    <t>5/24/2026 8:42:19 PM</t>
  </si>
  <si>
    <t>[المطالبات على القضية -تسجيل طلب احالة] Found system show error message when Click on حفظ without fill any value</t>
  </si>
  <si>
    <t>5/24/2026 8:42:45 PM</t>
  </si>
  <si>
    <t>[المطالبات على القضية- تسجيل سداد] The user did not find رسم التنفيذ and تاريخ التنفيذ that he add</t>
  </si>
  <si>
    <t>5/24/2026 8:43:05 PM</t>
  </si>
  <si>
    <t>[المطالبات على القضية- تسجيل سداد] The user find حساب المتجاوز عنة is checked when navigating to edit screen</t>
  </si>
  <si>
    <t>5/24/2026 8:43:25 PM</t>
  </si>
  <si>
    <t>[المطالبات على القضية -تعديل تظلم] The system not update the value of تاريخ الالغاء or المبلغ المعدل بعد التظلم it we change the نتيجة التظلم and back to the selected value</t>
  </si>
  <si>
    <t>5/24/2026 8:43:46 PM</t>
  </si>
  <si>
    <t>[المطالبات على القضية -تعديل تظلم] The system show unreadable error message "common.validation.numericOnly" when exceed 10 numbers</t>
  </si>
  <si>
    <t>5/24/2026 8:44:05 PM</t>
  </si>
  <si>
    <t>[المطالبات على القضية- استعراض الاسترداد] The label of هل تمت الموافقة and it's value not appear</t>
  </si>
  <si>
    <t>5/24/2026 8:44:34 PM</t>
  </si>
  <si>
    <t>[المطالبات على القضية -تسجيل اعفاء من الرسوم] System keep adding new records with same data while clicking on button save</t>
  </si>
  <si>
    <t>5/24/2026 8:44:54 PM</t>
  </si>
  <si>
    <t>[المطالبات على القضية -تسجيل اعفاء من الرسوم] System accept to add more than اعفاء كلى for same debtor</t>
  </si>
  <si>
    <t>5/24/2026 8:45:15 PM</t>
  </si>
  <si>
    <t>[المطالبات على القضية -استعراض سجلات طلبات التقسيط السابقة] Not found navigation buttons like "رجوع" in view screen</t>
  </si>
  <si>
    <t>5/24/2026 8:45:43 PM</t>
  </si>
  <si>
    <t>[المطالبات على القضية -تسجيل طلب احالة] Found the field الملاحظات missing</t>
  </si>
  <si>
    <t>5/24/2026 8:46:05 PM</t>
  </si>
  <si>
    <t>[المطالبات على القضية -تسجيل طلب احالة] Found all اطراف الدعوى appear while should excludes the referring debtor</t>
  </si>
  <si>
    <t>5/24/2026 8:46:29 PM</t>
  </si>
  <si>
    <t>[المطالبات على القضية -تسجيل طلب احالة] Found محافظة الميلاد appear editable while selecting نوع المدين as احد اطراف الدعوى</t>
  </si>
  <si>
    <t>5/24/2026 8:46:49 PM</t>
  </si>
  <si>
    <t>[المطالبات على القضية -استعراض سجلات الاقالات السابقة] The data of تاريخ الجلسة &amp; اخر اجراء / معاملة doesn't show any data</t>
  </si>
  <si>
    <t>5/24/2026 8:47:09 PM</t>
  </si>
  <si>
    <t>[المطالبات على القضية -استعراض سجلات الاقالات السابقة] The column header not like the US for نص قرار الإقالة - تاريخ جلسة الإقالة</t>
  </si>
  <si>
    <t>5/24/2026 8:47:29 PM</t>
  </si>
  <si>
    <t>[المطالبات على القضية -استعراض سجلات الاقالات السابقة] The data of نص القرار doesn't show any data</t>
  </si>
  <si>
    <t>5/24/2026 8:47:54 PM</t>
  </si>
  <si>
    <t>[المطالبات على القضية -تسجيل طلب احالة الى نيابة] Found the list of النيابة الجزئية not retrieved all النيابات while the user didn't select نيابة كلية</t>
  </si>
  <si>
    <t>5/24/2026 8:48:16 PM</t>
  </si>
  <si>
    <t>[المطالبات على القضية -تسجيل طلب احالة الى نيابة] Found the list of الجلسات appear empty while their is جلسات in the system</t>
  </si>
  <si>
    <t>5/24/2026 8:48:43 PM</t>
  </si>
  <si>
    <t>[المطالبات- البحث المتقدم] The value of  تاريخ الجلسة not appear for case 1122</t>
  </si>
  <si>
    <t>5/24/2026 8:49:04 PM</t>
  </si>
  <si>
    <t>[إحصائيات المطالبات ] Can't find field "نوع المطالبة"</t>
  </si>
  <si>
    <t>5/24/2026 8:49:47 PM</t>
  </si>
  <si>
    <t>[المطالبات على القضية- اضافة معاملة علي الخزانة العامة] The user should find تاريخ الجلسة is mandatory field</t>
  </si>
  <si>
    <t>5/24/2026 8:50:12 PM</t>
  </si>
  <si>
    <t>[المطالبات على القضية- اضافة معاملة علي الخزانة العامة] المعاملات Icon is not displayed if the user did not have permission اضافة علي عاتق الخزانة sup permission</t>
  </si>
  <si>
    <t>5/24/2026 8:50:40 PM</t>
  </si>
  <si>
    <t>[المطالبات على القضية- اعفاء من الرسوم] Need to handle error message that appeared when the user add اضافة اعفاء من الرسوم and the claim in علي عاتق الخزانة العامة</t>
  </si>
  <si>
    <t>5/24/2026 8:50:59 PM</t>
  </si>
  <si>
    <t>[المطالبات على القضية- الاحالة] Need to handle error message that appeared when the user add اضافة احالة and the claim in علي عاتق الخزانة العامة</t>
  </si>
  <si>
    <t>5/24/2026 8:51:23 PM</t>
  </si>
  <si>
    <t>[المطالبات على القضية- اعفاء من الرسوم] The system should display تاريخ الجلسة in edit screen</t>
  </si>
  <si>
    <t>5/24/2026 8:51:45 PM</t>
  </si>
  <si>
    <t>[المطالبات على القضية- اضافة مطالبة] The search inside dropdown list not filter the items in the list</t>
  </si>
  <si>
    <t>5/24/2026 8:52:10 PM</t>
  </si>
  <si>
    <t>[إحصائيات المطالبات ] The fields  تاريخ من &amp; تاريخ الى appear require while they are optional</t>
  </si>
  <si>
    <t>5/24/2026 8:52:35 PM</t>
  </si>
  <si>
    <t>[المطالبات على القضية- استعراض سجلات السداد ] The system should accept up to 3 decimal number after (.)</t>
  </si>
  <si>
    <t>5/24/2026 8:53:02 PM</t>
  </si>
  <si>
    <t>[إحصائيات المطالبات - تقرير بالمطالبات] Found the system show error message "هذا الحقل مطلوب" when enter wrong format in fields تاريخ من &amp; تاريخ الى</t>
  </si>
  <si>
    <t>5/24/2026 8:53:31 PM</t>
  </si>
  <si>
    <t>[إحصائيات المطالبات - إحصائيات المطالبات المحصلة - تقرير بالمطالبات-المطالبة السنوية] Can't find any permission related to access the report احصائية المطالبات or any report</t>
  </si>
  <si>
    <t>5/24/2026 8:53:56 PM</t>
  </si>
  <si>
    <t>[إحصائيات المطالبات المحصلة] Found the system not show error message when enter wrong format in fields تاريخ من &amp; تاريخ الى, and if click on print, it's generate the report</t>
  </si>
  <si>
    <t>5/24/2026 8:56:04 PM</t>
  </si>
  <si>
    <t>[إحصائيات المطالبات المحصلة] The button تفريغ محددات البحث not exist in the screen</t>
  </si>
  <si>
    <t>5/24/2026 8:56:24 PM</t>
  </si>
  <si>
    <t>[إحصائيات المطالبات المحصلة] The search in drop-down list not working for السنة المالية - نوع المطالبة</t>
  </si>
  <si>
    <t>5/24/2026 8:56:43 PM</t>
  </si>
  <si>
    <t>[إحصائيات المطالبات المحصلة] The label نوع المطالبة and it's value not appear in the report</t>
  </si>
  <si>
    <t>5/24/2026 8:57:02 PM</t>
  </si>
  <si>
    <t>[ تقرير بالمطالبات] The report name appear wrong in case select موقف مطالبة</t>
  </si>
  <si>
    <t>5/24/2026 8:57:35 PM</t>
  </si>
  <si>
    <t>[المطالبات على القضية- اضافة معاملة علي الخزانة العامة] اضافة مدين  button is not displayed for the user who has اضافة مدين sub permission</t>
  </si>
  <si>
    <t>5/24/2026 8:57:59 PM</t>
  </si>
  <si>
    <t>[المطالبات على القضية-تسجيل الاجراءات] The list of نوع الاجراء contains the inactive items it should contain the active items only</t>
  </si>
  <si>
    <t>5/24/2026 8:58:18 PM</t>
  </si>
  <si>
    <t>[المطالبات على القضية- الاجراءات] The status of حالة المطالبة  not updated till user refresh the page</t>
  </si>
  <si>
    <t>5/24/2026 8:58:45 PM</t>
  </si>
  <si>
    <t>[ إحصائيات المطالبات السنوية] The system not response when click on اجمالى الجزئيات or اجمالى الكليات</t>
  </si>
  <si>
    <t>5/24/2026 8:59:06 PM</t>
  </si>
  <si>
    <t>[المطالبات على القضية- الاجراءات]  The system should display "تنسيق التاريخ غير صحيح" when enter chars in the dates fields</t>
  </si>
  <si>
    <t>5/24/2026 8:59:30 PM</t>
  </si>
  <si>
    <t>[ إحصائيات المطالبات السنوية] The system not response when click on بحث</t>
  </si>
  <si>
    <t>5/24/2026 8:59:51 PM</t>
  </si>
  <si>
    <t>[إحصائيات المطالبات السنوية] The button تفريغ محددات البحث not exist in the screen</t>
  </si>
  <si>
    <t>5/24/2026 9:00:11 PM</t>
  </si>
  <si>
    <t>[ إحصائيات المطالبات السنوية] Found value in the printed document not defined in US</t>
  </si>
  <si>
    <t>5/24/2026 9:00:31 PM</t>
  </si>
  <si>
    <t>[المطالبات على القضية- الاجراءات] The print button"طباعة إعلان/توكيل/تحري" Should be displayed only when the procedure type is selected and صادر و وارد is added</t>
  </si>
  <si>
    <t>5/24/2026 9:00:52 PM</t>
  </si>
  <si>
    <t>[إحصائيات المطالبات السنوية] The system retrieved the النيابة الجزئية while not assigned to the user</t>
  </si>
  <si>
    <t>5/24/2026 9:01:16 PM</t>
  </si>
  <si>
    <t>[المطالبات على القضية -حذف اعفاء من الرسوم] Found delete icon appear for موظف النيابة</t>
  </si>
  <si>
    <t>5/24/2026 9:01:38 PM</t>
  </si>
  <si>
    <t>[المطالبات على القضية -تسجيل اعفاء من الرسوم] System accept to add char in the field القيمة المعفاة</t>
  </si>
  <si>
    <t>5/24/2026 9:01:59 PM</t>
  </si>
  <si>
    <t>[المطالبات على القضية -تسجيل اعفاء من الرسوم] The search in drop-down of نوع الاعفاء or تاريخ الجلسة not working</t>
  </si>
  <si>
    <t>5/24/2026 9:02:19 PM</t>
  </si>
  <si>
    <t>5/24/2026 9:02:41 PM</t>
  </si>
  <si>
    <t>[المطالبات على القضية -تسجيل اعفاء من الرسوم] The value for القيمة المعفاة not appear in the list of الاعفاءات while نوع الاعفاء كلى</t>
  </si>
  <si>
    <t>5/24/2026 9:03:00 PM</t>
  </si>
  <si>
    <t>[المطالبات على القضية -تسجيل اعفاء من الرسوم] The value for المبلغ المعفى not appear in the list of المدينيين and not reflect on المبلغ المتبقى</t>
  </si>
  <si>
    <t>5/24/2026 9:03:21 PM</t>
  </si>
  <si>
    <t>[المطالبات على القضية -حذف اعفاء من الرسوم] System keep the status of claim as معفاة من الرسوم while delete the record</t>
  </si>
  <si>
    <t>5/24/2026 9:03:40 PM</t>
  </si>
  <si>
    <t>[المطالبات على القضية -تسجيل اضافة متعذر تحصيله] The System show optional fields as Mandatory.</t>
  </si>
  <si>
    <t>5/24/2026 9:04:00 PM</t>
  </si>
  <si>
    <t>[المطالبات على القضية -تسجيل اضافة متعذر تحصيله] The error message ofهذا الحقل مطلوب duplicated</t>
  </si>
  <si>
    <t>5/24/2026 9:04:22 PM</t>
  </si>
  <si>
    <t>[المطالبات على القضية -تسجيل اضافة متعذر تحصيله] The field "جهة الترخيص" appear as single line, while in US was Multiline</t>
  </si>
  <si>
    <t>5/24/2026 9:04:53 PM</t>
  </si>
  <si>
    <t>[المطالبات على القضية -تسجيل اضافة متعذر تحصيله - تعديل متعذر تحصيله] System accept to add char in the fields رقم الترخيص بالتجاوز - رقم التسوية</t>
  </si>
  <si>
    <t>5/24/2026 9:05:13 PM</t>
  </si>
  <si>
    <t>[المطالبات على القضية -تسجيل اضافة متعذر تحصيله - تعديل متعذر تحصيله] System reject the dates values when typing it like dd/mm/yyyy for value 17/12/2025</t>
  </si>
  <si>
    <t>5/24/2026 9:05:34 PM</t>
  </si>
  <si>
    <t>[المطالبات على القضية -تسجيل اضافة متعذر تحصيله - تعديل متعذر تحصيله] The value of field تاريخ الاضافة didn't saved while adding</t>
  </si>
  <si>
    <t>5/24/2026 9:05:55 PM</t>
  </si>
  <si>
    <t>[المطالبات على القضية -تسجيل اضافة متعذر تحصيله - تعديل متعذر تحصيله]The search in drop-down of اسم المدين not working</t>
  </si>
  <si>
    <t>5/24/2026 9:06:18 PM</t>
  </si>
  <si>
    <t>[المطالبات على القضية -تسجيل اضافة طلب تقسيط - تعديل  طلب تقسيط] The search in drop-down of اسم المدين not working</t>
  </si>
  <si>
    <t>5/24/2026 9:06:37 PM</t>
  </si>
  <si>
    <t>[المطالبات على القضية -تسجيل طلب احالة] Found system show error message "claims.referral.formInvalid" when Click on حفظ without add the amount</t>
  </si>
  <si>
    <t>5/24/2026 9:06:57 PM</t>
  </si>
  <si>
    <t>[المطالبات على القضية -تسجيل طلب احالة] Found اسم المدين appear as textbox , while the debtor type is جهة</t>
  </si>
  <si>
    <t>5/24/2026 9:07:20 PM</t>
  </si>
  <si>
    <t>[المطالبات على القضية -تسجيل طلب احالة] Found system return internal server error while trying enter عنوان exceed 500 char with debtor type جهة</t>
  </si>
  <si>
    <t>5/24/2026 9:07:39 PM</t>
  </si>
  <si>
    <t>[المطالبات على القضية -تسجيل طلب احالة] Found system show error message "claims.referral.formInvalid" when Click on حفظ without add نوع الاثبات - رقم الاثبات - نوع المدين</t>
  </si>
  <si>
    <t>5/24/2026 9:07:59 PM</t>
  </si>
  <si>
    <t>[المطالبات على القضية -تسجيل طلب احالة] The name of field نوع المدين should be بصفته</t>
  </si>
  <si>
    <t>5/24/2026 9:08:18 PM</t>
  </si>
  <si>
    <t>[المطالبات على القضية -تسجيل طلب احالة] The field العنوان appear not auto-fill the address with debtor type  الجهة</t>
  </si>
  <si>
    <t>5/24/2026 9:08:39 PM</t>
  </si>
  <si>
    <t>[المطالبات على القضية -تسجيل طلب احالة] The field تاريخ الميلاد not appear with debtor type اخرى</t>
  </si>
  <si>
    <t>5/24/2026 9:08:58 PM</t>
  </si>
  <si>
    <t>[المطالبات على القضية -تسجيل طلب احالة] Found field المحافظة appear as optional while it's defined in US and SRS as Mandatory with debtor type أخرى</t>
  </si>
  <si>
    <t>5/24/2026 9:09:18 PM</t>
  </si>
  <si>
    <t>[المطالبات على القضية -تسجيل طلب احالة] Found system return internal server error while trying enter اسم المدين &amp; عنوان exceed 500 char with debtor type اخري</t>
  </si>
  <si>
    <t>5/24/2026 9:09:36 PM</t>
  </si>
  <si>
    <t>[المطالبات على القضية -تسجيل طلب احالة] The search in drop-down of (اطراف الدعوى - الجنسية - نوع الاثبات - نوع المدين) not working</t>
  </si>
  <si>
    <t>5/24/2026 9:10:00 PM</t>
  </si>
  <si>
    <t>[المطالبات على القضية -عرض تفاصيل طلب احالة] The data of items not appear in the table</t>
  </si>
  <si>
    <t>5/24/2026 9:10:20 PM</t>
  </si>
  <si>
    <t>[المطالبات على القضية -عرض تفاصيل طلب احالة] The data of الاحالة not appear in the request details view</t>
  </si>
  <si>
    <t>5/24/2026 9:10:42 PM</t>
  </si>
  <si>
    <t>[المطالبات على القضية -عرض تفاصيل طلب احالة] Found fields (محافظة الميلاد - الجنسية - المبلغ) able to be edit</t>
  </si>
  <si>
    <t>5/24/2026 9:11:03 PM</t>
  </si>
  <si>
    <t>[المطالبات على القضية -تسجيل طلب احالة] Found field المبلغ المطلوب appear editable while their was one debtor only on the claim</t>
  </si>
  <si>
    <t>5/24/2026 9:11:23 PM</t>
  </si>
  <si>
    <t>[المطالبات على القضية -تعديل طلب احالة] The system not load the data of the request to be able to edit it</t>
  </si>
  <si>
    <t>5/24/2026 9:11:42 PM</t>
  </si>
  <si>
    <t>[المطالبات على القضية -تعديل طلب احالة- عرض طلب إحالة] The title appear as اضافة إحالة</t>
  </si>
  <si>
    <t>5/24/2026 9:12:05 PM</t>
  </si>
  <si>
    <t>[المطالبات على القضية -استعراض سجلات الاحالة السابقة] The data of الاحالة not appear in the table</t>
  </si>
  <si>
    <t>5/24/2026 9:12:30 PM</t>
  </si>
  <si>
    <t>[المطالبات- البحث برقم القضية] The list of النيابة الجزئية contain item not assigned on the user</t>
  </si>
  <si>
    <t>5/24/2026 9:12:51 PM</t>
  </si>
  <si>
    <t>[المطالبات- البحث برقم القضية] The list of تصنيف الجدول contain item not assigned on the user</t>
  </si>
  <si>
    <t>5/24/2026 9:13:10 PM</t>
  </si>
  <si>
    <t>[المطالبات- البحث برقم القضية] When serach for رقم القضية 11 it's retrieve رقم قضية = 66</t>
  </si>
  <si>
    <t>5/24/2026 9:13:29 PM</t>
  </si>
  <si>
    <t>[المطالبات على القضية - عرض مطالبات القضية] The user can access مطالبات القضية while don't have permission</t>
  </si>
  <si>
    <t>5/24/2026 9:13:47 PM</t>
  </si>
  <si>
    <t>[المطالبات على القضية - عرض مطالبات القضية] The back icon not working</t>
  </si>
  <si>
    <t>5/24/2026 9:14:10 PM</t>
  </si>
  <si>
    <t>[المطالبات على القضية] The column "تصنيف الجدول" not appear in the table of search result</t>
  </si>
  <si>
    <t>5/24/2026 9:14:32 PM</t>
  </si>
  <si>
    <t>[المطالبات على القضية - عرض التفاصيل السابقة] Found the Column name appear as السنة in the table while should be السنة المالية as defined in US and SRS</t>
  </si>
  <si>
    <t>5/24/2026 9:14:59 PM</t>
  </si>
  <si>
    <t>[المطالبات على القضية] The column "تصنيف الجدول" not appear in Mandatory</t>
  </si>
  <si>
    <t>5/24/2026 9:15:18 PM</t>
  </si>
  <si>
    <t>[المطالبات على القضية - عرض مطالبات القضية - عرض المديينين] The options of المعاملات appear with name الاجراءات</t>
  </si>
  <si>
    <t>5/24/2026 9:15:37 PM</t>
  </si>
  <si>
    <t>[المطالبات على القضية - عرض مطالبات القضية - عرض المديينين] The button for the options of الاجراءات not appear</t>
  </si>
  <si>
    <t>5/24/2026 9:16:03 PM</t>
  </si>
  <si>
    <t>[المطالبات على القضية - عرض مطالبات القضية - عرض المديينين] The options of المعاملات appear while not have permission</t>
  </si>
  <si>
    <t>5/24/2026 9:16:24 PM</t>
  </si>
  <si>
    <t>[المطالبات- البحث المتقدم] The system show error message wrong as "الرجاء ادخال محدد بحث واحد على الاقل" while should be "معايير البحث غير كافية"</t>
  </si>
  <si>
    <t>5/24/2026 9:16:41 PM</t>
  </si>
  <si>
    <t>[المطالبات- البحث المتقدم] The value of month and day switched in Date Picker fields</t>
  </si>
  <si>
    <t>5/24/2026 9:17:00 PM</t>
  </si>
  <si>
    <t>[المطالبات- البحث المتقدم] The Clear button doesn't clear the search result</t>
  </si>
  <si>
    <t>5/24/2026 9:17:23 PM</t>
  </si>
  <si>
    <t>[المطالبات على القضية - اضافة مطالبة تاريخية] Found field السنة المالية not derived automatically based on تاريخ قيد المطالبة</t>
  </si>
  <si>
    <t>5/24/2026 9:17:58 PM</t>
  </si>
  <si>
    <t>[المطالبات على القضية - اضافة مطالبة تاريخية] Found field السنة المالية appear editable</t>
  </si>
  <si>
    <t>5/24/2026 9:18:23 PM</t>
  </si>
  <si>
    <t>[المطالبات على القضية- اضافة مطالبة &amp; اضافة مطالبة تاريخية] The system accept to add more than one claim if user rapidly click on save button</t>
  </si>
  <si>
    <t>5/24/2026 9:18:41 PM</t>
  </si>
  <si>
    <t>[المطالبات على القضية- اضافة مطالبة &amp; اضافة مطالبة تاريخية] The user can open اضافة مطالبة or اضافة مطالبة تاريخية page for invalid case number</t>
  </si>
  <si>
    <t>5/24/2026 9:19:06 PM</t>
  </si>
  <si>
    <t>[ المطالبات على القضية - اضافة مطالبة تاريخية &amp; اضافة مطالبة] Found the تاريخ الجلسة not stored in DB</t>
  </si>
  <si>
    <t>5/24/2026 9:19:26 PM</t>
  </si>
  <si>
    <t>[المطالبات على القضية- اضافة معاملة علي الخزانة العامة] The system doesn't display نص قرار الإضافة which linked to the selected session</t>
  </si>
  <si>
    <t>5/24/2026 9:19:46 PM</t>
  </si>
  <si>
    <t>[المطالبات- البحث المتقدم] The search result print result not contain all data</t>
  </si>
  <si>
    <t>5/24/2026 9:20:14 PM</t>
  </si>
  <si>
    <t>[المطالبات على القضية- استعراض معاملة علي الخزانة العامة] The system doesn't display نص قرار الإضافة and the selected session date in view/Edit screens</t>
  </si>
  <si>
    <t>5/24/2026 9:20:34 PM</t>
  </si>
  <si>
    <t>[المطالبات- البحث المتقدم] The user can search with value exceed 100 char in اسم المدين</t>
  </si>
  <si>
    <t>5/24/2026 9:20:52 PM</t>
  </si>
  <si>
    <t>[المطالبات- البحث المتقدم] The system not show error message to the user to clarify the error when enter wrong date</t>
  </si>
  <si>
    <t>5/24/2026 9:21:13 PM</t>
  </si>
  <si>
    <t>[المطالبات- البحث المتقدم] The column of the search result not appear correct</t>
  </si>
  <si>
    <t>5/24/2026 9:21:39 PM</t>
  </si>
  <si>
    <t>[المطالبات على القضية- تعديل معاملة علي الخزانة العامة] The Edit screen should be closed after saving the edit</t>
  </si>
  <si>
    <t>5/24/2026 9:21:58 PM</t>
  </si>
  <si>
    <t>[المطالبات- البحث المتقدم] No data appear in the column النيابة الجزئية</t>
  </si>
  <si>
    <t>5/24/2026 9:22:17 PM</t>
  </si>
  <si>
    <t>[المطالبات- البحث المتقدم] The system not show error message to the user to clarify the error when enter date of تاريخ السداد الى earlier than تاريخ السداد من</t>
  </si>
  <si>
    <t>5/24/2026 9:22:36 PM</t>
  </si>
  <si>
    <t>[المطالبات على القضية - عرض مطالبات القضية] Can't find any filtration in the screen as defined in SRS</t>
  </si>
  <si>
    <t>5/24/2026 9:22:59 PM</t>
  </si>
  <si>
    <t>[المطالبات على القضية - عرض التفاصيل السابقة] Found the data not sorted correct ascending by 'التاريخ'</t>
  </si>
  <si>
    <t>5/24/2026 9:23:19 PM</t>
  </si>
  <si>
    <t>[المطالبات - اضافة مدين] Found field المبلغ المطلوب read-only, with type على عاتق الخزانة العامة</t>
  </si>
  <si>
    <t>5/24/2026 9:23:43 PM</t>
  </si>
  <si>
    <t>[المطالبات - اضافة مدين] Found field المحافظة appear as optional while it's defined in US and SRS as Mandatory with debtor type أخرى</t>
  </si>
  <si>
    <t>5/24/2026 9:24:09 PM</t>
  </si>
  <si>
    <t>[المطالبات - اضافة مدين] Found error message appear wrong when try to fill field المبلغ with Char</t>
  </si>
  <si>
    <t>5/24/2026 9:24:29 PM</t>
  </si>
  <si>
    <t>[المطالبات على القضية- اضافة معاملة علي الخزانة العامة] The system shows an "Access denied" error after saving the transaction, and it only appears in the table after refreshing the browser.</t>
  </si>
  <si>
    <t>5/24/2026 9:24:46 PM</t>
  </si>
  <si>
    <t>[المطالبات - اضافة مدين] Found error message "يجب ادخال ارقام فقط" while add NID and less than 14 number</t>
  </si>
  <si>
    <t>5/24/2026 9:25:10 PM</t>
  </si>
  <si>
    <t>[المطالبات - اضافة مدين- تفاصيل المطالبة] Can't find any option for delete debtor</t>
  </si>
  <si>
    <t>5/24/2026 9:25:33 PM</t>
  </si>
  <si>
    <t>[المطالبات - اضافة مدين] No validation for max length applied on the field اسم المدين &amp; العنوان</t>
  </si>
  <si>
    <t>5/24/2026 9:25:56 PM</t>
  </si>
  <si>
    <t>[المطالبات - اضافة مدين] The system not show the remaining amount if we try to add debtor على عاتق الخزانة</t>
  </si>
  <si>
    <t>5/24/2026 9:26:14 PM</t>
  </si>
  <si>
    <t>[المطالبات - اضافة مدين- تفاصيل المطالبة] The value of قيمة المطالبة appear wrong, after added debtor</t>
  </si>
  <si>
    <t>5/24/2026 9:26:38 PM</t>
  </si>
  <si>
    <t>[المطالبات - اضافة مدين] The field تاريخ الميلاد not appear with debtor type اخرى</t>
  </si>
  <si>
    <t>5/24/2026 9:26:58 PM</t>
  </si>
  <si>
    <t>[المطالبات - تعديل مدين] The user can't change المبلغ المطلوب for debtor احد اطراف الدعوى \ اخرى</t>
  </si>
  <si>
    <t>5/24/2026 9:27:22 PM</t>
  </si>
  <si>
    <t>[المطالبات - تعديل مدين-اضافة مدين] The value of العنوان not saved in add or edit, for debtor type جهة</t>
  </si>
  <si>
    <t>5/24/2026 9:27:40 PM</t>
  </si>
  <si>
    <t>[المطالبات - تعديل مدين] The value of المبلغ المتبقى not updated after update the amount of المبلغ المستحق</t>
  </si>
  <si>
    <t>5/24/2026 9:27:59 PM</t>
  </si>
  <si>
    <t>[المطالبات - تعديل مدين] The system show error message "خطأ داخلي في الخادم" when try to open edit debtor type جهة</t>
  </si>
  <si>
    <t>5/24/2026 9:28:17 PM</t>
  </si>
  <si>
    <t>[المطالبات - تعديل مدين] The system show error message "خطأ داخلي في الخادم" when try to update debtor type جهة</t>
  </si>
  <si>
    <t>5/24/2026 9:28:37 PM</t>
  </si>
  <si>
    <t>[المطالبات على القضية - تعديل مطالبة] Found system show error "errors.undefined" when try to update the amount with value less than the total linked debtor allocations</t>
  </si>
  <si>
    <t>5/24/2026 9:28:56 PM</t>
  </si>
  <si>
    <t>[المطالبات على القضية - تعديل مطالبة] Found system show error message over the label of the field</t>
  </si>
  <si>
    <t>5/24/2026 9:29:14 PM</t>
  </si>
  <si>
    <t>[المطالبات على القضية- استعراض معاملة علي الخزانة العامة] Not found view button in the screen table</t>
  </si>
  <si>
    <t>5/24/2026 9:29:34 PM</t>
  </si>
  <si>
    <t>[المطالبات - اضافة مدين] The name of field نوع المدين should be بصفته</t>
  </si>
  <si>
    <t>5/24/2026 9:29:54 PM</t>
  </si>
  <si>
    <t>[المطالبات على القضية - اضافة مطالبة تاريخية] When try to add مطالبة تاريخية while exist on the system, the system return error message ""errors.undefined" " while the claim number is duplicate</t>
  </si>
  <si>
    <t>5/24/2026 9:30:16 PM</t>
  </si>
  <si>
    <t>[المطالبات على القضية - اضافة مطالبة تاريخية] When try to add مطالبة تاريخية while exist on the system, the system return error message ""errors.undefined" "</t>
  </si>
  <si>
    <t>5/24/2026 9:30:51 PM</t>
  </si>
  <si>
    <t>[المطالبات على القضية - عرض مطالبات القضية] Found claims not sorted ascendingly first by السنة المالية then by رقم المطالبة</t>
  </si>
  <si>
    <t>5/24/2026 9:31:08 PM</t>
  </si>
  <si>
    <t>[المطالبات على القضية - اضافة مطالبة] Found field السنة المالية appear editable</t>
  </si>
  <si>
    <t>5/24/2026 9:31:31 PM</t>
  </si>
  <si>
    <t>5/24/2026 9:31:50 PM</t>
  </si>
  <si>
    <t>[المطالبات على القضية - عرض التفاصيل السابقة] Found the super admin user can't access عرض مطالبات القضية</t>
  </si>
  <si>
    <t>5/24/2026 9:32:10 PM</t>
  </si>
  <si>
    <t>[المطالبات على القضية- تسجيل سداد] The system doesn't accept zero in field "رسوم التنفيذ"</t>
  </si>
  <si>
    <t>5/24/2026 9:32:33 PM</t>
  </si>
  <si>
    <t>[المطالبات على القضية- تسجيل سداد] The field رسوم التنفيذ accept more than 100</t>
  </si>
  <si>
    <t>5/24/2026 9:32:51 PM</t>
  </si>
  <si>
    <t>[المطالبات على القضية- تسجيل سداد] The system show error message  بيان مسجل من قبل when try to add بيانات الشخص القائم بالسداد</t>
  </si>
  <si>
    <t>5/24/2026 9:33:12 PM</t>
  </si>
  <si>
    <t>[المطالبات على القضية - موقف المطالبة – الإدارة التلقائية لموقف المطالب] The list of اسم المدين not included اطراف المدينين when creating  طلب تقسيط</t>
  </si>
  <si>
    <t>5/24/2026 9:33:35 PM</t>
  </si>
  <si>
    <t>[المطالبات على القضية -تسجيل اجراء جديد] The section for الصادر والوارد not found when adding new procedure on the registered claim</t>
  </si>
  <si>
    <t>5/24/2026 9:33:55 PM</t>
  </si>
  <si>
    <t>[المطالبات على القضية- تسجيل سداد] When Check "حساب المتجاوز عنه" the value of القيمة المسددة not updated</t>
  </si>
  <si>
    <t>5/24/2026 9:34:20 PM</t>
  </si>
  <si>
    <t>[المطالبات على القضية- تعديل سداد] When try to تعديل سداد found the data not loaded correct</t>
  </si>
  <si>
    <t>5/24/2026 9:34:42 PM</t>
  </si>
  <si>
    <t>[المطالبات على القضية- تعديل سداد] System not response when click on التالى while try to update the item</t>
  </si>
  <si>
    <t>5/24/2026 9:35:03 PM</t>
  </si>
  <si>
    <t>[المطالبات على القضية- تعديل سداد] When click on الغاء under section بيانات الشخص القائم system close edit popup and show error "اختر المدين أولاً قبل تفعيل «متجاوز عنه»."</t>
  </si>
  <si>
    <t>5/24/2026 9:35:23 PM</t>
  </si>
  <si>
    <t>[المطالبات على القضية- عرض سجلات السداد] Can't find info of the employee who executed each payment transaction.</t>
  </si>
  <si>
    <t>5/24/2026 9:35:50 PM</t>
  </si>
  <si>
    <t>BE - [الحكم لصالح مقدم الطلب ] the system should display clear validation message if the user tries to issue an extraction on a case that has no saved decision</t>
  </si>
  <si>
    <t>5/24/2026 9:36:03 PM</t>
  </si>
  <si>
    <t>[المطالبات على القضية- تسجيل سداد] The list of نوع السداد options should shown based on employee permissions</t>
  </si>
  <si>
    <t>5/24/2026 9:36:06 PM</t>
  </si>
  <si>
    <t>[المطالبات على القضية- تسجيل سداد] Can't find The الأقساط section while their installments exist for the selected debtor</t>
  </si>
  <si>
    <t>5/24/2026 9:36:30 PM</t>
  </si>
  <si>
    <t>[المطالبات على القضية -استعراض الاجراءات السابقة] The section for الصادر والوارد found as link to can insert values in view screen</t>
  </si>
  <si>
    <t>5/24/2026 9:36:51 PM</t>
  </si>
  <si>
    <t>[المطالبات على القضية -تسجيل استرداد] Found field "هل تمت الموافقة" appear editable, while it's should be enabled to عضو النيابة</t>
  </si>
  <si>
    <t>5/24/2026 9:37:11 PM</t>
  </si>
  <si>
    <t>[المطالبات على القضية -تسجيل استرداد] Found field "تاريخ طلب الاسترداد" appear editable, while it's should be read-only</t>
  </si>
  <si>
    <t>5/24/2026 9:37:32 PM</t>
  </si>
  <si>
    <t>[المطالبات على القضية -تسجيل استرداد] Found the count for number of char for field "سبب الاسترداد" appear wrong</t>
  </si>
  <si>
    <t>5/24/2026 9:37:51 PM</t>
  </si>
  <si>
    <t>[المطالبات على القضية -تسجيل استرداد] System return error "[object Object]" when try to save طلب استرداد</t>
  </si>
  <si>
    <t>5/24/2026 9:38:18 PM</t>
  </si>
  <si>
    <t>[المطالبات على القضية -تسجيل تظلم] Can't find field "القيمة المعدلة بعد التظلم" once select  نتيجة التظلم as تعديل المبلغ</t>
  </si>
  <si>
    <t>5/24/2026 9:38:38 PM</t>
  </si>
  <si>
    <t>[المطالبات على القضية -تسجيل تظلم] Found field نتيجة التظلم appear required</t>
  </si>
  <si>
    <t>5/24/2026 9:38:58 PM</t>
  </si>
  <si>
    <t>[المطالبات على القضية -تسجيل تظلم] Can't find field "تاريخ الإلغاء" once select  نتيجة التظلم as الغاء</t>
  </si>
  <si>
    <t>5/24/2026 9:39:25 PM</t>
  </si>
  <si>
    <t>[المطالبات على القضية -تسجيل اقالة] System return error "بيان مسجل من قبل" when try to save طلب اقالة</t>
  </si>
  <si>
    <t>5/24/2026 9:39:44 PM</t>
  </si>
  <si>
    <t>[المطالبات على القضية -تسجيل اقالة] The button طباعة appear and it's clickable while didn't save the request</t>
  </si>
  <si>
    <t>5/24/2026 9:40:05 PM</t>
  </si>
  <si>
    <t>[المطالبات على القضية -تسجيل استرداد - تسجيل اقالة- تسجيل اعفاء] Found the value of تاريخ الجلسة &amp; آخر إجراء / معاملة not appear in the بيانات المطالبة</t>
  </si>
  <si>
    <t>5/24/2026 9:40:26 PM</t>
  </si>
  <si>
    <t>[المطالبات على القضية- تسجيل سداد] The system did not display the المبلغ المدفوع in بيانات المدينين section</t>
  </si>
  <si>
    <t>5/24/2026 9:40:45 PM</t>
  </si>
  <si>
    <t>[المطالبات على القضية- تسجيل اجراء] The system did not add the new added procedure</t>
  </si>
  <si>
    <t>5/24/2026 9:41:03 PM</t>
  </si>
  <si>
    <t>[المطالبات على القضية -استعراض سجلات طلبات التقسيط السابقة] Missing values in تاريخ الجلسة and آخر إجراء / معاملة on header (بيانات المطالبة الأساسية) at the top of the screen</t>
  </si>
  <si>
    <t>5/24/2026 9:41:34 PM</t>
  </si>
  <si>
    <t>[المطالبات على القضية -تسجيل اعفاء من الرسوم] System accept to add اعفاء جزئى with amount exceed the المبلغ المستحق للمدين</t>
  </si>
  <si>
    <t>5/24/2026 9:42:00 PM</t>
  </si>
  <si>
    <t>[إحصائيات المطالبات السنوية] The system retrieved the النيابة الجزئية while not belong to selected النيابة الكلية</t>
  </si>
  <si>
    <t>5/24/2026 9:42:19 PM</t>
  </si>
  <si>
    <t>[المطالبات على القضية- الاجراءات] The system should accept to edit تاريخ تسليم الإعلان للمُحضر and تاريخ تسلم الإعلان من المُحضر  without edit permission</t>
  </si>
  <si>
    <t>5/24/2026 9:42:38 PM</t>
  </si>
  <si>
    <t>[المطالبات على القضية -تسجيل اضافة طلب تقسيط - تعديل  طلب تقسيط] Missing Field حالة القسط in adding new request</t>
  </si>
  <si>
    <t>5/24/2026 9:43:00 PM</t>
  </si>
  <si>
    <t>[المطالبات على القضية- تسجيل سداد] Found field تاريخ التنفيذ accept date &gt; today date, and تاريخ قبل تاريخ القيد الخاص بالمطالبة</t>
  </si>
  <si>
    <t>5/24/2026 9:43:20 PM</t>
  </si>
  <si>
    <t>[المطالبات على القضية- تسجيل سداد] The status of موقف المطالبة not updated till user refresh the page</t>
  </si>
  <si>
    <t>5/24/2026 9:43:42 PM</t>
  </si>
  <si>
    <t>[المطالبات على القضية- اضافة مطالبة &amp; اضافة مطالبة تاريخية] When try to add مطالبة تاريخية or مطالبة with max length for قيمة المطالبة, system return error "فشل فى تنفيذ عملية قاعدة البيانات"</t>
  </si>
  <si>
    <t>5/24/2026 9:44:17 PM</t>
  </si>
  <si>
    <t>[المطالبات - اضافة مدين] Found error message appear "هذ الحقل مطلوب" when select جهة from drop-down list of اطراف الدعوى</t>
  </si>
  <si>
    <t>5/24/2026 9:44:41 PM</t>
  </si>
  <si>
    <t>[Requirement Issue][المطالبات على القضية -اضافة مطالبة- اضافة مطالبة تاريخية] The list of نوع المطالبة retrieve all items not depend on نوع الجدول of the case</t>
  </si>
  <si>
    <t>5/24/2026 9:45:19 PM</t>
  </si>
  <si>
    <t>[ المطالبات على القضية - اضافة مطالبة تاريخية &amp; اضافة مطالبة &amp; تعديل مطالبة] Found نص الحكم\القرار not retrieve while select جلسة contain data in نص الحكم\القرار</t>
  </si>
  <si>
    <t>5/24/2026 9:45:43 PM</t>
  </si>
  <si>
    <t>[General issue for all procedures &amp;&amp; Actions ] The status of موقف المطالبة not updated till user refresh the page</t>
  </si>
  <si>
    <t>5/24/2026 9:46:03 PM</t>
  </si>
  <si>
    <t>[المطالبات على القضية- تسجيل سداد] The حساب المتجاوز عنة check box should not be displayed if If no إعلان exists and  تاريخ قيد المطالبة; if less than or equal to 90 days</t>
  </si>
  <si>
    <t>5/24/2026 9:46:27 PM</t>
  </si>
  <si>
    <t>[المطالبات على القضية- تسجيل سداد] The system did not display القيمة المسددة in the table in case السداد الجزئي او الكلي</t>
  </si>
  <si>
    <t>5/24/2026 9:46:59 PM</t>
  </si>
  <si>
    <t>[المطالبات على القضية - اضافة مطالبة تاريخية] The system not accept the date of the claim if written by the user</t>
  </si>
  <si>
    <t>5/24/2026 9:47:19 PM</t>
  </si>
  <si>
    <t>[المطالبات على القضية -تسجيل اقالة] The user should find the full name of the debtor in the printed document</t>
  </si>
  <si>
    <t>5/24/2026 9:47:37 PM</t>
  </si>
  <si>
    <t>[المطالبات على القضية -تسجيل اقالة] The field آخر إجراء / معاملة is not updated when add اقالة request</t>
  </si>
  <si>
    <t>5/24/2026 9:48:01 PM</t>
  </si>
  <si>
    <t>[المطالبات على القضية -استعراض الاجراءات السابقة] The user did not find the data of الصادر و الوارد that he add in the edit and view screens</t>
  </si>
  <si>
    <t>5/24/2026 9:48:31 PM</t>
  </si>
  <si>
    <t>[المطالبات - اضافة مدين] Found no error message appear if NID less than 14 number</t>
  </si>
  <si>
    <t>5/24/2026 9:48:49 PM</t>
  </si>
  <si>
    <t>[المطالبات على القضية- الاجراءات] The user should find الصادر و الوارد section is editable</t>
  </si>
  <si>
    <t>5/24/2026 9:49:06 PM</t>
  </si>
  <si>
    <t>[المطالبات على القضية -تسجيل اقالة] The request اقالة didn't redirect to عضو النيابة</t>
  </si>
  <si>
    <t>5/24/2026 9:49:24 PM</t>
  </si>
  <si>
    <t>[المطالبات على القضية -تسجيل اقالة] Found hint under the title of the page appear as "إقالة مطالبة (عادةً إلغاء غرامة)"</t>
  </si>
  <si>
    <t>5/24/2026 9:49:45 PM</t>
  </si>
  <si>
    <t>[المطالبات على القضية- تسجيل سداد] The system should display تاريخ تسجيل الإعلان , التاريخ الفعلي لاستلام المواطن للإعلان  if إعلان procedure was previously registered</t>
  </si>
  <si>
    <t>5/24/2026 9:50:07 PM</t>
  </si>
  <si>
    <t>[المطالبات على القضية- تسجيل سداد] The system display تاريخ القسط in تاريخ السداد and empty تاريخ القسط</t>
  </si>
  <si>
    <t>5/24/2026 9:50:36 PM</t>
  </si>
  <si>
    <t>[المطالبات على القضية -استعراض سجلات طلبات التقسيط السابقة_تعديل طلب التقسيط] System displays بيانات التقسيط incorrect in view screen</t>
  </si>
  <si>
    <t>5/24/2026 9:50:56 PM</t>
  </si>
  <si>
    <t>[المطالبات على القضية- تسجيل سداد] The system should retrieve the fees that related to the claim when the user click on إضافة سداد</t>
  </si>
  <si>
    <t>5/24/2026 9:51:19 PM</t>
  </si>
  <si>
    <t>[المطالبات على القضية- استعراض سجلات السداد ] The System should display all the payment records that happened on the claim</t>
  </si>
  <si>
    <t>5/24/2026 9:51:51 PM</t>
  </si>
  <si>
    <t>[General] No water mark applied in all reports</t>
  </si>
  <si>
    <t>5/24/2026 9:52:19 PM</t>
  </si>
  <si>
    <t>[المطالبات على القضية -تسجيل اقالة] The system accept to add طلب الاقالة with same number "it's happen random"</t>
  </si>
  <si>
    <t>5/24/2026 9:52:40 PM</t>
  </si>
  <si>
    <t>[المطالبات على القضية - استعراض التقسيط] Found extra columns in the table</t>
  </si>
  <si>
    <t>5/24/2026 9:52:58 PM</t>
  </si>
  <si>
    <t>[المطالبات - اضافة مدين] The field العنوان appear not auto-fill the address with debtor type اخرى &amp; الجهة</t>
  </si>
  <si>
    <t>5/24/2026 9:53:18 PM</t>
  </si>
  <si>
    <t>[ المطالبات على القضية - تعديل مطالبة] Found the تاريخ الجلسة option enabled while try to update claim</t>
  </si>
  <si>
    <t>5/24/2026 9:53:36 PM</t>
  </si>
  <si>
    <t>[المطالبات على القضية -استعراض سجلات الاحالة السابقة] The data of تاريخ الجلسة &amp; اخر اجراء / معاملة doesn't show any data</t>
  </si>
  <si>
    <t>5/24/2026 9:53:54 PM</t>
  </si>
  <si>
    <t>[إحصائيات المطالبات المحصلة] Their are missing info in the report UI</t>
  </si>
  <si>
    <t>5/24/2026 9:54:12 PM</t>
  </si>
  <si>
    <t>[ تقرير بالمطالبات] Their are missing info in the report UI</t>
  </si>
  <si>
    <t>5/24/2026 9:54:31 PM</t>
  </si>
  <si>
    <t>[المطالبات على القضية- الاجراءات] The system should prevent adding وارد before adding صادر</t>
  </si>
  <si>
    <t>5/24/2026 9:55:01 PM</t>
  </si>
  <si>
    <t>[إحصائيات المطالبات ] Their are missing info in the report UI</t>
  </si>
  <si>
    <t>5/24/2026 9:55:22 PM</t>
  </si>
  <si>
    <t>[المطالبات على القضية- تسجيل سداد] The system not response when try to click طباعة ايصال السداد</t>
  </si>
  <si>
    <t>5/24/2026 9:55:39 PM</t>
  </si>
  <si>
    <t>[المطالبات على القضية] When click on عرض القضيةو the system open home page while should redirect to بيانات القضية</t>
  </si>
  <si>
    <t>5/24/2026 9:56:06 PM</t>
  </si>
  <si>
    <t>[المطالبات على القضية -تسجيل اقالة] The field "تاريخ الجلسة" show inactive sessions</t>
  </si>
  <si>
    <t>5/24/2026 9:56:29 PM</t>
  </si>
  <si>
    <t>BE - [اشكال في التنفيذ] Found that sections appear قضية الإشكال and قضية الاستئناف when click on اختيار in اشكال في التنفيذ service after step of the fees</t>
  </si>
  <si>
    <t>5/24/2026 10:19:33 PM</t>
  </si>
  <si>
    <t>BE - [اشكال في التنفيذ] Found that button اصدار المستخرج appear instead of اصدار مستخرج سلبي and  اصدار مستخرج ايجابي after click on اختيار in اشكال في التنفيذ service after step of the fees</t>
  </si>
  <si>
    <t>5/24/2026 10:29:18 PM</t>
  </si>
  <si>
    <t>BE - [الاستعلام عن طلبات الاستخراج] Report appear different that Results table header  in الاستعلام عن طلبات الاستخراج</t>
  </si>
  <si>
    <t>5/24/2026 10:49:52 PM</t>
  </si>
  <si>
    <t>BE - [طباعة نتيجة الاستعلام] The system should display the temp number for the unpaid extraction requests</t>
  </si>
  <si>
    <t>5/24/2026 11:14:53 PM</t>
  </si>
  <si>
    <t>BE - [طباعة نتيجة الاستعلام] Incorrect date format wrapping/alignment in “تاريخ الطلب” column of extraction requests report</t>
  </si>
  <si>
    <t>5/24/2026 11:41:57 PM</t>
  </si>
  <si>
    <t>BE - [تقرير تتبع إصدار المستخرج] The system saved two records "توقيت استخدام المفتاح" while the user used it for one time only</t>
  </si>
  <si>
    <t>5/24/2026 11:56:40 PM</t>
  </si>
  <si>
    <t>BE - [تقرير تتبع إصدار المستخرج] Raw ISO 8601 timestamp is displayed in UI instead of user-friendly date format</t>
  </si>
  <si>
    <t>5/24/2026 11:57:20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</si>
</sst>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1"/>
      <color theme="0"/>
      <name val="Calibri"/>
      <family val="2"/>
      <scheme val="minor"/>
    </font>
    <font>
      <b/>
      <sz val="11"/>
      <color rgb="FFFFFFFF"/>
      <name val="Calibri"/>
      <family val="2"/>
      <scheme val="minor"/>
    </font>
    <font>
      <b/>
      <sz val="11"/>
      <color rgb="FFC55A11"/>
      <name val="Calibri"/>
      <family val="2"/>
      <scheme val="minor"/>
    </font>
    <font>
      <b/>
      <sz val="11"/>
      <color rgb="FF7030A0"/>
      <name val="Calibri"/>
      <family val="2"/>
      <scheme val="minor"/>
    </font>
    <font>
      <b/>
      <sz val="13"/>
      <color rgb="FFFFFFFF"/>
      <name val="Calibri"/>
      <family val="2"/>
      <scheme val="minor"/>
    </font>
    <font>
      <b/>
      <sz val="11"/>
      <color rgb="FF2F5496"/>
      <name val="Calibri"/>
      <family val="2"/>
      <scheme val="minor"/>
    </font>
    <font>
      <sz val="11"/>
      <color rgb="FF000000"/>
      <name val="Calibri"/>
      <family val="2"/>
      <scheme val="minor"/>
    </font>
  </fonts>
  <fills count="12">
    <fill>
      <patternFill patternType="none"/>
    </fill>
    <fill>
      <patternFill patternType="gray125"/>
    </fill>
    <fill>
      <patternFill patternType="solid">
        <fgColor rgb="FF0070C0"/>
        <bgColor indexed="64"/>
      </patternFill>
    </fill>
    <fill>
      <patternFill patternType="solid">
        <fgColor rgb="FF4472C4"/>
        <bgColor indexed="64"/>
      </patternFill>
    </fill>
    <fill>
      <patternFill patternType="solid">
        <fgColor rgb="FFDDEBF7"/>
        <bgColor indexed="64"/>
      </patternFill>
    </fill>
    <fill>
      <patternFill patternType="solid">
        <fgColor rgb="FFE2EFDA"/>
        <bgColor indexed="64"/>
      </patternFill>
    </fill>
    <fill>
      <patternFill patternType="solid">
        <fgColor rgb="FFFCE4D6"/>
        <bgColor indexed="64"/>
      </patternFill>
    </fill>
    <fill>
      <patternFill patternType="solid">
        <fgColor rgb="FFE8D5F5"/>
        <bgColor indexed="64"/>
      </patternFill>
    </fill>
    <fill>
      <patternFill patternType="solid">
        <fgColor rgb="FFFFF2CC"/>
        <bgColor indexed="64"/>
      </patternFill>
    </fill>
    <fill>
      <patternFill patternType="solid">
        <fgColor rgb="FF2F5496"/>
        <bgColor indexed="64"/>
      </patternFill>
    </fill>
    <fill>
      <patternFill patternType="solid">
        <fgColor rgb="FFD6DCE4"/>
        <bgColor indexed="64"/>
      </patternFill>
    </fill>
    <fill>
      <patternFill patternType="solid">
        <fgColor rgb="FFFFFFFF"/>
        <bgColor indexed="64"/>
      </patternFill>
    </fill>
  </fills>
  <borders count="2">
    <border>
      <left/>
      <right/>
      <top/>
      <bottom/>
      <diagonal/>
    </border>
    <border>
      <left/>
      <right/>
      <top style="thin">
        <color theme="1"/>
      </top>
      <bottom/>
      <diagonal/>
    </border>
  </borders>
  <cellStyleXfs count="1">
    <xf numFmtId="0" fontId="0" fillId="0" borderId="0"/>
  </cellStyleXfs>
  <cellXfs count="21">
    <xf numFmtId="0" fontId="0" fillId="0" borderId="0" xfId="0"/>
    <xf numFmtId="0" fontId="2" fillId="2" borderId="0" xfId="0" applyFont="1" applyFill="1"/>
    <xf numFmtId="0" fontId="3" fillId="3" borderId="0" xfId="0" applyFont="1" applyFill="1" applyAlignment="1">
      <alignment horizontal="center"/>
    </xf>
    <xf numFmtId="0" fontId="1" fillId="0" borderId="0" xfId="0" applyFont="1"/>
    <xf numFmtId="0" fontId="4" fillId="6" borderId="0" xfId="0" applyFont="1" applyFill="1"/>
    <xf numFmtId="0" fontId="5" fillId="7" borderId="0" xfId="0" applyFont="1" applyFill="1"/>
    <xf numFmtId="0" fontId="3" fillId="9" borderId="0" xfId="0" applyFont="1" applyFill="1"/>
    <xf numFmtId="0" fontId="1" fillId="10" borderId="0" xfId="0" applyFont="1" applyFill="1"/>
    <xf numFmtId="0" fontId="3" fillId="9" borderId="1" xfId="0" applyFont="1" applyFill="1" applyBorder="1"/>
    <xf numFmtId="0" fontId="0" fillId="4" borderId="1" xfId="0" applyFill="1" applyBorder="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6" fillId="9" borderId="0" xfId="0" applyFont="1" applyFill="1"/>
    <xf numFmtId="0" fontId="7" fillId="0" borderId="0" xfId="0" applyFont="1"/>
    <xf numFmtId="0" fontId="8" fillId="11" borderId="0" xfId="0" applyFont="1" applyFill="1"/>
    <xf numFmtId="0" fontId="0" fillId="4" borderId="0" xfId="0" applyFill="1" applyBorder="1"/>
    <xf numFmtId="0" fontId="4" fillId="6" borderId="0" xfId="0" applyFont="1" applyFill="1" applyBorder="1"/>
    <xf numFmtId="0" fontId="0" fillId="6" borderId="0" xfId="0" applyFill="1" applyBorder="1"/>
  </cellXfs>
  <cellStyles count="1">
    <cellStyle name="Normal" xfId="0" builtinId="0"/>
  </cellStyles>
  <dxfs count="1">
    <dxf>
      <font>
        <b/>
        <strike val="0"/>
        <condense val="0"/>
        <extend val="0"/>
        <outline val="0"/>
        <shadow val="0"/>
        <vertAlign val="baseline"/>
        <sz val="11"/>
        <color rgb="FFFFFFFF"/>
        <name val="Calibri"/>
        <family val="2"/>
        <scheme val="minor"/>
      </font>
      <fill>
        <patternFill patternType="solid">
          <fgColor indexed="64"/>
          <bgColor rgb="FF4472C4"/>
        </patternFill>
      </fill>
      <alignment horizontal="center" vertical="bottom"/>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Code" displayName="ProjectCode" ref="A1:B6" totalsRowShown="0" headerRowDxfId="0">
  <autoFilter ref="A1:B6" xr:uid="{00000000-0009-0000-0100-000001000000}"/>
  <tableColumns count="2">
    <tableColumn id="1" xr3:uid="{00000000-0010-0000-0000-000001000000}" name="Project Code"/>
    <tableColumn id="2" xr3:uid="{00000000-0010-0000-0000-000002000000}" name="Project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C5437E1-40A0-4AD2-B3CF-545990305825}">
  <we:reference id="wa200009404" version="1.0.0.8" store="en-US" storeType="OMEX"/>
  <we:alternateReferences>
    <we:reference id="WA200009404" version="1.0.0.8" store="" storeType="OMEX"/>
  </we:alternateReferences>
  <we:properties>
    <we:property name="claude.fileId" value="&quot;0384efdd-04f6-4b6c-81bd-554bd4777e5d&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2"/>
  <sheetViews>
    <sheetView workbookViewId="0">
      <selection sqref="A1:J972"/>
    </sheetView>
  </sheetViews>
  <sheetFormatPr defaultRowHeight="14.5" x14ac:dyDescent="0.35"/>
  <cols>
    <col min="1" max="1" width="8" customWidth="1"/>
    <col min="2" max="2" width="15" customWidth="1"/>
    <col min="3" max="3" width="60" customWidth="1"/>
    <col min="4" max="4" width="30" customWidth="1"/>
    <col min="5" max="5" width="12" customWidth="1"/>
    <col min="6" max="7" width="20" customWidth="1"/>
    <col min="8" max="8" width="15" customWidth="1"/>
    <col min="9" max="9" width="25" customWidth="1"/>
    <col min="10" max="10" width="45" customWidth="1"/>
  </cols>
  <sheetData>
    <row r="1" spans="1:10" x14ac:dyDescent="0.35">
      <c r="A1" t="s">
        <v>0</v>
      </c>
      <c r="B1" t="s">
        <v>1</v>
      </c>
      <c r="C1" t="s">
        <v>2</v>
      </c>
      <c r="D1" t="s">
        <v>3</v>
      </c>
      <c r="E1" t="s">
        <v>4</v>
      </c>
      <c r="F1" t="s">
        <v>5</v>
      </c>
      <c r="G1" t="s">
        <v>6</v>
      </c>
      <c r="H1" t="s">
        <v>7</v>
      </c>
      <c r="I1" t="s">
        <v>8</v>
      </c>
      <c r="J1" t="s">
        <v>9</v>
      </c>
    </row>
    <row r="2" spans="1:10" x14ac:dyDescent="0.35">
      <c r="A2">
        <v>50584</v>
      </c>
      <c r="B2" t="s">
        <v>149</v>
      </c>
      <c r="C2" t="s">
        <v>150</v>
      </c>
      <c r="D2" t="s">
        <v>151</v>
      </c>
      <c r="E2" t="s">
        <v>152</v>
      </c>
      <c r="G2">
        <v>0</v>
      </c>
      <c r="H2">
        <v>8</v>
      </c>
      <c r="I2" t="s">
        <v>153</v>
      </c>
      <c r="J2" t="s">
        <v>154</v>
      </c>
    </row>
    <row r="3" spans="1:10" x14ac:dyDescent="0.35">
      <c r="A3">
        <v>50585</v>
      </c>
      <c r="B3" t="s">
        <v>149</v>
      </c>
      <c r="C3" t="s">
        <v>155</v>
      </c>
      <c r="D3" t="s">
        <v>151</v>
      </c>
      <c r="E3" t="s">
        <v>152</v>
      </c>
      <c r="G3">
        <v>0</v>
      </c>
      <c r="H3">
        <v>4</v>
      </c>
      <c r="I3" t="s">
        <v>156</v>
      </c>
      <c r="J3" t="s">
        <v>154</v>
      </c>
    </row>
    <row r="4" spans="1:10" x14ac:dyDescent="0.35">
      <c r="A4">
        <v>50586</v>
      </c>
      <c r="B4" t="s">
        <v>149</v>
      </c>
      <c r="C4" t="s">
        <v>157</v>
      </c>
      <c r="D4" t="s">
        <v>151</v>
      </c>
      <c r="E4" t="s">
        <v>152</v>
      </c>
      <c r="G4">
        <v>0</v>
      </c>
      <c r="H4">
        <v>4</v>
      </c>
      <c r="I4" t="s">
        <v>158</v>
      </c>
      <c r="J4" t="s">
        <v>154</v>
      </c>
    </row>
    <row r="5" spans="1:10" x14ac:dyDescent="0.35">
      <c r="A5">
        <v>50587</v>
      </c>
      <c r="B5" t="s">
        <v>149</v>
      </c>
      <c r="C5" t="s">
        <v>159</v>
      </c>
      <c r="D5" t="s">
        <v>151</v>
      </c>
      <c r="E5" t="s">
        <v>152</v>
      </c>
      <c r="G5">
        <v>0</v>
      </c>
      <c r="H5">
        <v>4</v>
      </c>
      <c r="I5" t="s">
        <v>160</v>
      </c>
      <c r="J5" t="s">
        <v>154</v>
      </c>
    </row>
    <row r="6" spans="1:10" x14ac:dyDescent="0.35">
      <c r="A6">
        <v>50588</v>
      </c>
      <c r="B6" t="s">
        <v>149</v>
      </c>
      <c r="C6" t="s">
        <v>161</v>
      </c>
      <c r="D6" t="s">
        <v>151</v>
      </c>
      <c r="E6" t="s">
        <v>152</v>
      </c>
      <c r="G6">
        <v>0</v>
      </c>
      <c r="H6">
        <v>4</v>
      </c>
      <c r="I6" t="s">
        <v>162</v>
      </c>
      <c r="J6" t="s">
        <v>154</v>
      </c>
    </row>
    <row r="7" spans="1:10" x14ac:dyDescent="0.35">
      <c r="A7">
        <v>50927</v>
      </c>
      <c r="B7" t="s">
        <v>149</v>
      </c>
      <c r="C7" t="s">
        <v>163</v>
      </c>
      <c r="D7" t="s">
        <v>151</v>
      </c>
      <c r="E7" t="s">
        <v>152</v>
      </c>
      <c r="G7">
        <v>0</v>
      </c>
      <c r="H7">
        <v>8</v>
      </c>
      <c r="I7" t="s">
        <v>164</v>
      </c>
      <c r="J7" t="s">
        <v>154</v>
      </c>
    </row>
    <row r="8" spans="1:10" x14ac:dyDescent="0.35">
      <c r="A8">
        <v>50928</v>
      </c>
      <c r="B8" t="s">
        <v>149</v>
      </c>
      <c r="C8" t="s">
        <v>165</v>
      </c>
      <c r="D8" t="s">
        <v>151</v>
      </c>
      <c r="E8" t="s">
        <v>152</v>
      </c>
      <c r="G8">
        <v>0</v>
      </c>
      <c r="H8">
        <v>4</v>
      </c>
      <c r="I8" t="s">
        <v>166</v>
      </c>
      <c r="J8" t="s">
        <v>154</v>
      </c>
    </row>
    <row r="9" spans="1:10" x14ac:dyDescent="0.35">
      <c r="A9">
        <v>50929</v>
      </c>
      <c r="B9" t="s">
        <v>149</v>
      </c>
      <c r="C9" t="s">
        <v>167</v>
      </c>
      <c r="D9" t="s">
        <v>151</v>
      </c>
      <c r="E9" t="s">
        <v>152</v>
      </c>
      <c r="G9">
        <v>0</v>
      </c>
      <c r="H9">
        <v>4</v>
      </c>
      <c r="I9" t="s">
        <v>168</v>
      </c>
      <c r="J9" t="s">
        <v>154</v>
      </c>
    </row>
    <row r="10" spans="1:10" x14ac:dyDescent="0.35">
      <c r="A10">
        <v>50932</v>
      </c>
      <c r="B10" t="s">
        <v>149</v>
      </c>
      <c r="C10" t="s">
        <v>169</v>
      </c>
      <c r="D10" t="s">
        <v>170</v>
      </c>
      <c r="E10" t="s">
        <v>152</v>
      </c>
      <c r="G10">
        <v>0</v>
      </c>
      <c r="H10">
        <v>8</v>
      </c>
      <c r="I10" t="s">
        <v>171</v>
      </c>
      <c r="J10" t="s">
        <v>172</v>
      </c>
    </row>
    <row r="11" spans="1:10" x14ac:dyDescent="0.35">
      <c r="A11">
        <v>50934</v>
      </c>
      <c r="B11" t="s">
        <v>149</v>
      </c>
      <c r="C11" t="s">
        <v>173</v>
      </c>
      <c r="D11" t="s">
        <v>170</v>
      </c>
      <c r="E11" t="s">
        <v>152</v>
      </c>
      <c r="G11">
        <v>0</v>
      </c>
      <c r="H11">
        <v>6</v>
      </c>
      <c r="I11" t="s">
        <v>174</v>
      </c>
      <c r="J11" t="s">
        <v>172</v>
      </c>
    </row>
    <row r="12" spans="1:10" x14ac:dyDescent="0.35">
      <c r="A12">
        <v>50936</v>
      </c>
      <c r="B12" t="s">
        <v>149</v>
      </c>
      <c r="C12" t="s">
        <v>175</v>
      </c>
      <c r="D12" t="s">
        <v>176</v>
      </c>
      <c r="E12" t="s">
        <v>152</v>
      </c>
      <c r="G12">
        <v>0</v>
      </c>
      <c r="H12">
        <v>12</v>
      </c>
      <c r="I12" t="s">
        <v>177</v>
      </c>
      <c r="J12" t="s">
        <v>154</v>
      </c>
    </row>
    <row r="13" spans="1:10" x14ac:dyDescent="0.35">
      <c r="A13">
        <v>50937</v>
      </c>
      <c r="B13" t="s">
        <v>149</v>
      </c>
      <c r="C13" t="s">
        <v>178</v>
      </c>
      <c r="D13" t="s">
        <v>151</v>
      </c>
      <c r="E13" t="s">
        <v>152</v>
      </c>
      <c r="G13">
        <v>0</v>
      </c>
      <c r="H13">
        <v>4</v>
      </c>
      <c r="I13" t="s">
        <v>179</v>
      </c>
      <c r="J13" t="s">
        <v>154</v>
      </c>
    </row>
    <row r="14" spans="1:10" x14ac:dyDescent="0.35">
      <c r="A14">
        <v>50955</v>
      </c>
      <c r="B14" t="s">
        <v>149</v>
      </c>
      <c r="C14" t="s">
        <v>180</v>
      </c>
      <c r="D14" t="s">
        <v>181</v>
      </c>
      <c r="E14" t="s">
        <v>152</v>
      </c>
      <c r="G14">
        <v>0</v>
      </c>
      <c r="H14">
        <v>8</v>
      </c>
      <c r="I14" t="s">
        <v>182</v>
      </c>
      <c r="J14" t="s">
        <v>183</v>
      </c>
    </row>
    <row r="15" spans="1:10" x14ac:dyDescent="0.35">
      <c r="A15">
        <v>50962</v>
      </c>
      <c r="B15" t="s">
        <v>149</v>
      </c>
      <c r="C15" t="s">
        <v>184</v>
      </c>
      <c r="D15" t="s">
        <v>185</v>
      </c>
      <c r="E15" t="s">
        <v>152</v>
      </c>
      <c r="G15">
        <v>0</v>
      </c>
      <c r="H15">
        <v>4</v>
      </c>
      <c r="I15" t="s">
        <v>186</v>
      </c>
      <c r="J15" t="s">
        <v>187</v>
      </c>
    </row>
    <row r="16" spans="1:10" x14ac:dyDescent="0.35">
      <c r="A16">
        <v>50964</v>
      </c>
      <c r="B16" t="s">
        <v>149</v>
      </c>
      <c r="C16" t="s">
        <v>188</v>
      </c>
      <c r="D16" t="s">
        <v>185</v>
      </c>
      <c r="E16" t="s">
        <v>152</v>
      </c>
      <c r="G16">
        <v>0</v>
      </c>
      <c r="H16">
        <v>6</v>
      </c>
      <c r="I16" t="s">
        <v>189</v>
      </c>
      <c r="J16" t="s">
        <v>190</v>
      </c>
    </row>
    <row r="17" spans="1:10" x14ac:dyDescent="0.35">
      <c r="A17">
        <v>50965</v>
      </c>
      <c r="B17" t="s">
        <v>149</v>
      </c>
      <c r="C17" t="s">
        <v>191</v>
      </c>
      <c r="D17" t="s">
        <v>185</v>
      </c>
      <c r="E17" t="s">
        <v>152</v>
      </c>
      <c r="G17">
        <v>0</v>
      </c>
      <c r="H17">
        <v>6</v>
      </c>
      <c r="I17" t="s">
        <v>192</v>
      </c>
      <c r="J17" t="s">
        <v>190</v>
      </c>
    </row>
    <row r="18" spans="1:10" x14ac:dyDescent="0.35">
      <c r="A18">
        <v>50967</v>
      </c>
      <c r="B18" t="s">
        <v>149</v>
      </c>
      <c r="C18" t="s">
        <v>193</v>
      </c>
      <c r="D18" t="s">
        <v>185</v>
      </c>
      <c r="E18" t="s">
        <v>152</v>
      </c>
      <c r="G18">
        <v>0</v>
      </c>
      <c r="H18">
        <v>3</v>
      </c>
      <c r="I18" t="s">
        <v>194</v>
      </c>
      <c r="J18" t="s">
        <v>187</v>
      </c>
    </row>
    <row r="19" spans="1:10" x14ac:dyDescent="0.35">
      <c r="A19">
        <v>50968</v>
      </c>
      <c r="B19" t="s">
        <v>149</v>
      </c>
      <c r="C19" t="s">
        <v>195</v>
      </c>
      <c r="D19" t="s">
        <v>185</v>
      </c>
      <c r="E19" t="s">
        <v>152</v>
      </c>
      <c r="G19">
        <v>1</v>
      </c>
      <c r="H19">
        <v>3</v>
      </c>
      <c r="I19" t="s">
        <v>196</v>
      </c>
      <c r="J19" t="s">
        <v>187</v>
      </c>
    </row>
    <row r="20" spans="1:10" x14ac:dyDescent="0.35">
      <c r="A20">
        <v>50969</v>
      </c>
      <c r="B20" t="s">
        <v>149</v>
      </c>
      <c r="C20" t="s">
        <v>197</v>
      </c>
      <c r="D20" t="s">
        <v>185</v>
      </c>
      <c r="E20" t="s">
        <v>152</v>
      </c>
      <c r="G20">
        <v>1</v>
      </c>
      <c r="H20">
        <v>4</v>
      </c>
      <c r="I20" t="s">
        <v>198</v>
      </c>
      <c r="J20" t="s">
        <v>187</v>
      </c>
    </row>
    <row r="21" spans="1:10" x14ac:dyDescent="0.35">
      <c r="A21">
        <v>51000</v>
      </c>
      <c r="B21" t="s">
        <v>149</v>
      </c>
      <c r="C21" t="s">
        <v>199</v>
      </c>
      <c r="D21" t="s">
        <v>185</v>
      </c>
      <c r="E21" t="s">
        <v>152</v>
      </c>
      <c r="G21">
        <v>0</v>
      </c>
      <c r="H21">
        <v>5</v>
      </c>
      <c r="I21" t="s">
        <v>200</v>
      </c>
      <c r="J21" t="s">
        <v>201</v>
      </c>
    </row>
    <row r="22" spans="1:10" x14ac:dyDescent="0.35">
      <c r="A22">
        <v>51001</v>
      </c>
      <c r="B22" t="s">
        <v>149</v>
      </c>
      <c r="C22" t="s">
        <v>202</v>
      </c>
      <c r="D22" t="s">
        <v>203</v>
      </c>
      <c r="E22" t="s">
        <v>152</v>
      </c>
      <c r="G22">
        <v>0</v>
      </c>
      <c r="H22">
        <v>5</v>
      </c>
      <c r="I22" t="s">
        <v>204</v>
      </c>
      <c r="J22" t="s">
        <v>201</v>
      </c>
    </row>
    <row r="23" spans="1:10" x14ac:dyDescent="0.35">
      <c r="A23">
        <v>51002</v>
      </c>
      <c r="B23" t="s">
        <v>149</v>
      </c>
      <c r="C23" t="s">
        <v>205</v>
      </c>
      <c r="D23" t="s">
        <v>181</v>
      </c>
      <c r="E23" t="s">
        <v>152</v>
      </c>
      <c r="G23">
        <v>0</v>
      </c>
      <c r="H23">
        <v>4</v>
      </c>
      <c r="I23" t="s">
        <v>206</v>
      </c>
      <c r="J23" t="s">
        <v>201</v>
      </c>
    </row>
    <row r="24" spans="1:10" x14ac:dyDescent="0.35">
      <c r="A24">
        <v>51058</v>
      </c>
      <c r="B24" t="s">
        <v>149</v>
      </c>
      <c r="C24" t="s">
        <v>207</v>
      </c>
      <c r="D24" t="s">
        <v>181</v>
      </c>
      <c r="E24" t="s">
        <v>152</v>
      </c>
      <c r="G24">
        <v>0</v>
      </c>
      <c r="H24">
        <v>2</v>
      </c>
      <c r="I24" t="s">
        <v>208</v>
      </c>
      <c r="J24" t="s">
        <v>201</v>
      </c>
    </row>
    <row r="25" spans="1:10" x14ac:dyDescent="0.35">
      <c r="A25">
        <v>51060</v>
      </c>
      <c r="B25" t="s">
        <v>149</v>
      </c>
      <c r="C25" t="s">
        <v>209</v>
      </c>
      <c r="D25" t="s">
        <v>181</v>
      </c>
      <c r="E25" t="s">
        <v>152</v>
      </c>
      <c r="G25">
        <v>0</v>
      </c>
      <c r="H25">
        <v>3</v>
      </c>
      <c r="I25" t="s">
        <v>210</v>
      </c>
      <c r="J25" t="s">
        <v>201</v>
      </c>
    </row>
    <row r="26" spans="1:10" x14ac:dyDescent="0.35">
      <c r="A26">
        <v>51062</v>
      </c>
      <c r="B26" t="s">
        <v>149</v>
      </c>
      <c r="C26" t="s">
        <v>211</v>
      </c>
      <c r="D26" t="s">
        <v>203</v>
      </c>
      <c r="E26" t="s">
        <v>152</v>
      </c>
      <c r="G26">
        <v>0</v>
      </c>
      <c r="H26">
        <v>4</v>
      </c>
      <c r="I26" t="s">
        <v>212</v>
      </c>
      <c r="J26" t="s">
        <v>201</v>
      </c>
    </row>
    <row r="27" spans="1:10" x14ac:dyDescent="0.35">
      <c r="A27">
        <v>51066</v>
      </c>
      <c r="B27" t="s">
        <v>149</v>
      </c>
      <c r="C27" t="s">
        <v>213</v>
      </c>
      <c r="D27" t="s">
        <v>185</v>
      </c>
      <c r="E27" t="s">
        <v>152</v>
      </c>
      <c r="G27">
        <v>1</v>
      </c>
      <c r="H27">
        <v>3</v>
      </c>
      <c r="I27" t="s">
        <v>214</v>
      </c>
      <c r="J27" t="s">
        <v>201</v>
      </c>
    </row>
    <row r="28" spans="1:10" x14ac:dyDescent="0.35">
      <c r="A28">
        <v>51068</v>
      </c>
      <c r="B28" t="s">
        <v>149</v>
      </c>
      <c r="C28" t="s">
        <v>215</v>
      </c>
      <c r="D28" t="s">
        <v>185</v>
      </c>
      <c r="E28" t="s">
        <v>152</v>
      </c>
      <c r="G28">
        <v>1</v>
      </c>
      <c r="H28">
        <v>2</v>
      </c>
      <c r="I28" t="s">
        <v>216</v>
      </c>
      <c r="J28" t="s">
        <v>201</v>
      </c>
    </row>
    <row r="29" spans="1:10" x14ac:dyDescent="0.35">
      <c r="A29">
        <v>51071</v>
      </c>
      <c r="B29" t="s">
        <v>149</v>
      </c>
      <c r="C29" t="s">
        <v>217</v>
      </c>
      <c r="D29" t="s">
        <v>185</v>
      </c>
      <c r="E29" t="s">
        <v>152</v>
      </c>
      <c r="G29">
        <v>1</v>
      </c>
      <c r="H29">
        <v>3</v>
      </c>
      <c r="I29" t="s">
        <v>218</v>
      </c>
      <c r="J29" t="s">
        <v>201</v>
      </c>
    </row>
    <row r="30" spans="1:10" x14ac:dyDescent="0.35">
      <c r="A30">
        <v>51101</v>
      </c>
      <c r="B30" t="s">
        <v>149</v>
      </c>
      <c r="C30" t="s">
        <v>219</v>
      </c>
      <c r="D30" t="s">
        <v>185</v>
      </c>
      <c r="E30" t="s">
        <v>152</v>
      </c>
      <c r="G30">
        <v>0</v>
      </c>
      <c r="H30">
        <v>5</v>
      </c>
      <c r="I30" t="s">
        <v>220</v>
      </c>
      <c r="J30" t="s">
        <v>201</v>
      </c>
    </row>
    <row r="31" spans="1:10" x14ac:dyDescent="0.35">
      <c r="A31">
        <v>51102</v>
      </c>
      <c r="B31" t="s">
        <v>149</v>
      </c>
      <c r="C31" t="s">
        <v>221</v>
      </c>
      <c r="D31" t="s">
        <v>185</v>
      </c>
      <c r="E31" t="s">
        <v>152</v>
      </c>
      <c r="G31">
        <v>0</v>
      </c>
      <c r="H31">
        <v>4</v>
      </c>
      <c r="I31" t="s">
        <v>222</v>
      </c>
      <c r="J31" t="s">
        <v>201</v>
      </c>
    </row>
    <row r="32" spans="1:10" x14ac:dyDescent="0.35">
      <c r="A32">
        <v>51103</v>
      </c>
      <c r="B32" t="s">
        <v>149</v>
      </c>
      <c r="C32" t="s">
        <v>223</v>
      </c>
      <c r="D32" t="s">
        <v>185</v>
      </c>
      <c r="E32" t="s">
        <v>152</v>
      </c>
      <c r="G32">
        <v>0</v>
      </c>
      <c r="H32">
        <v>4</v>
      </c>
      <c r="I32" t="s">
        <v>224</v>
      </c>
      <c r="J32" t="s">
        <v>201</v>
      </c>
    </row>
    <row r="33" spans="1:10" x14ac:dyDescent="0.35">
      <c r="A33">
        <v>51104</v>
      </c>
      <c r="B33" t="s">
        <v>149</v>
      </c>
      <c r="C33" t="s">
        <v>225</v>
      </c>
      <c r="D33" t="s">
        <v>185</v>
      </c>
      <c r="E33" t="s">
        <v>152</v>
      </c>
      <c r="G33">
        <v>0</v>
      </c>
      <c r="H33">
        <v>3</v>
      </c>
      <c r="I33" t="s">
        <v>226</v>
      </c>
      <c r="J33" t="s">
        <v>201</v>
      </c>
    </row>
    <row r="34" spans="1:10" x14ac:dyDescent="0.35">
      <c r="A34">
        <v>51105</v>
      </c>
      <c r="B34" t="s">
        <v>149</v>
      </c>
      <c r="C34" t="s">
        <v>227</v>
      </c>
      <c r="D34" t="s">
        <v>185</v>
      </c>
      <c r="E34" t="s">
        <v>152</v>
      </c>
      <c r="G34">
        <v>0</v>
      </c>
      <c r="H34">
        <v>4</v>
      </c>
      <c r="I34" t="s">
        <v>228</v>
      </c>
      <c r="J34" t="s">
        <v>201</v>
      </c>
    </row>
    <row r="35" spans="1:10" x14ac:dyDescent="0.35">
      <c r="A35">
        <v>51106</v>
      </c>
      <c r="B35" t="s">
        <v>149</v>
      </c>
      <c r="C35" t="s">
        <v>229</v>
      </c>
      <c r="D35" t="s">
        <v>185</v>
      </c>
      <c r="E35" t="s">
        <v>152</v>
      </c>
      <c r="G35">
        <v>0</v>
      </c>
      <c r="H35">
        <v>4</v>
      </c>
      <c r="I35" t="s">
        <v>230</v>
      </c>
      <c r="J35" t="s">
        <v>201</v>
      </c>
    </row>
    <row r="36" spans="1:10" x14ac:dyDescent="0.35">
      <c r="A36">
        <v>51107</v>
      </c>
      <c r="B36" t="s">
        <v>149</v>
      </c>
      <c r="C36" t="s">
        <v>231</v>
      </c>
      <c r="D36" t="s">
        <v>185</v>
      </c>
      <c r="E36" t="s">
        <v>152</v>
      </c>
      <c r="G36">
        <v>0</v>
      </c>
      <c r="H36">
        <v>4</v>
      </c>
      <c r="I36" t="s">
        <v>232</v>
      </c>
      <c r="J36" t="s">
        <v>201</v>
      </c>
    </row>
    <row r="37" spans="1:10" x14ac:dyDescent="0.35">
      <c r="A37">
        <v>51108</v>
      </c>
      <c r="B37" t="s">
        <v>149</v>
      </c>
      <c r="C37" t="s">
        <v>233</v>
      </c>
      <c r="D37" t="s">
        <v>185</v>
      </c>
      <c r="E37" t="s">
        <v>152</v>
      </c>
      <c r="G37">
        <v>0</v>
      </c>
      <c r="H37">
        <v>3</v>
      </c>
      <c r="I37" t="s">
        <v>234</v>
      </c>
      <c r="J37" t="s">
        <v>201</v>
      </c>
    </row>
    <row r="38" spans="1:10" x14ac:dyDescent="0.35">
      <c r="A38">
        <v>51109</v>
      </c>
      <c r="B38" t="s">
        <v>149</v>
      </c>
      <c r="C38" t="s">
        <v>235</v>
      </c>
      <c r="D38" t="s">
        <v>185</v>
      </c>
      <c r="E38" t="s">
        <v>152</v>
      </c>
      <c r="G38">
        <v>0</v>
      </c>
      <c r="H38">
        <v>4</v>
      </c>
      <c r="I38" t="s">
        <v>236</v>
      </c>
      <c r="J38" t="s">
        <v>201</v>
      </c>
    </row>
    <row r="39" spans="1:10" x14ac:dyDescent="0.35">
      <c r="A39">
        <v>51165</v>
      </c>
      <c r="B39" t="s">
        <v>149</v>
      </c>
      <c r="C39" t="s">
        <v>237</v>
      </c>
      <c r="D39" t="s">
        <v>203</v>
      </c>
      <c r="E39" t="s">
        <v>152</v>
      </c>
      <c r="G39">
        <v>0</v>
      </c>
      <c r="H39">
        <v>3</v>
      </c>
      <c r="I39" t="s">
        <v>238</v>
      </c>
      <c r="J39" t="s">
        <v>201</v>
      </c>
    </row>
    <row r="40" spans="1:10" x14ac:dyDescent="0.35">
      <c r="A40">
        <v>51166</v>
      </c>
      <c r="B40" t="s">
        <v>149</v>
      </c>
      <c r="C40" t="s">
        <v>239</v>
      </c>
      <c r="D40" t="s">
        <v>203</v>
      </c>
      <c r="E40" t="s">
        <v>152</v>
      </c>
      <c r="G40">
        <v>0</v>
      </c>
      <c r="H40">
        <v>2</v>
      </c>
      <c r="I40" t="s">
        <v>240</v>
      </c>
      <c r="J40" t="s">
        <v>201</v>
      </c>
    </row>
    <row r="41" spans="1:10" x14ac:dyDescent="0.35">
      <c r="A41">
        <v>51167</v>
      </c>
      <c r="B41" t="s">
        <v>149</v>
      </c>
      <c r="C41" t="s">
        <v>241</v>
      </c>
      <c r="D41" t="s">
        <v>203</v>
      </c>
      <c r="E41" t="s">
        <v>152</v>
      </c>
      <c r="G41">
        <v>0</v>
      </c>
      <c r="H41">
        <v>2</v>
      </c>
      <c r="I41" t="s">
        <v>242</v>
      </c>
      <c r="J41" t="s">
        <v>201</v>
      </c>
    </row>
    <row r="42" spans="1:10" x14ac:dyDescent="0.35">
      <c r="A42">
        <v>51168</v>
      </c>
      <c r="B42" t="s">
        <v>149</v>
      </c>
      <c r="C42" t="s">
        <v>243</v>
      </c>
      <c r="D42" t="s">
        <v>203</v>
      </c>
      <c r="E42" t="s">
        <v>152</v>
      </c>
      <c r="G42">
        <v>0</v>
      </c>
      <c r="H42">
        <v>3</v>
      </c>
      <c r="I42" t="s">
        <v>244</v>
      </c>
      <c r="J42" t="s">
        <v>201</v>
      </c>
    </row>
    <row r="43" spans="1:10" x14ac:dyDescent="0.35">
      <c r="A43">
        <v>51169</v>
      </c>
      <c r="B43" t="s">
        <v>149</v>
      </c>
      <c r="C43" t="s">
        <v>245</v>
      </c>
      <c r="D43" t="s">
        <v>203</v>
      </c>
      <c r="E43" t="s">
        <v>152</v>
      </c>
      <c r="G43">
        <v>0</v>
      </c>
      <c r="H43">
        <v>2</v>
      </c>
      <c r="I43" t="s">
        <v>246</v>
      </c>
      <c r="J43" t="s">
        <v>201</v>
      </c>
    </row>
    <row r="44" spans="1:10" x14ac:dyDescent="0.35">
      <c r="A44">
        <v>51170</v>
      </c>
      <c r="B44" t="s">
        <v>149</v>
      </c>
      <c r="C44" t="s">
        <v>247</v>
      </c>
      <c r="D44" t="s">
        <v>203</v>
      </c>
      <c r="E44" t="s">
        <v>152</v>
      </c>
      <c r="G44">
        <v>0</v>
      </c>
      <c r="H44">
        <v>2</v>
      </c>
      <c r="I44" t="s">
        <v>248</v>
      </c>
      <c r="J44" t="s">
        <v>201</v>
      </c>
    </row>
    <row r="45" spans="1:10" x14ac:dyDescent="0.35">
      <c r="A45">
        <v>51171</v>
      </c>
      <c r="B45" t="s">
        <v>149</v>
      </c>
      <c r="C45" t="s">
        <v>249</v>
      </c>
      <c r="D45" t="s">
        <v>203</v>
      </c>
      <c r="E45" t="s">
        <v>152</v>
      </c>
      <c r="G45">
        <v>0</v>
      </c>
      <c r="H45">
        <v>2</v>
      </c>
      <c r="I45" t="s">
        <v>250</v>
      </c>
      <c r="J45" t="s">
        <v>201</v>
      </c>
    </row>
    <row r="46" spans="1:10" x14ac:dyDescent="0.35">
      <c r="A46">
        <v>51172</v>
      </c>
      <c r="B46" t="s">
        <v>149</v>
      </c>
      <c r="C46" t="s">
        <v>251</v>
      </c>
      <c r="D46" t="s">
        <v>203</v>
      </c>
      <c r="E46" t="s">
        <v>152</v>
      </c>
      <c r="G46">
        <v>0</v>
      </c>
      <c r="H46">
        <v>5</v>
      </c>
      <c r="I46" t="s">
        <v>252</v>
      </c>
      <c r="J46" t="s">
        <v>201</v>
      </c>
    </row>
    <row r="47" spans="1:10" x14ac:dyDescent="0.35">
      <c r="A47">
        <v>51173</v>
      </c>
      <c r="B47" t="s">
        <v>149</v>
      </c>
      <c r="C47" t="s">
        <v>253</v>
      </c>
      <c r="D47" t="s">
        <v>203</v>
      </c>
      <c r="E47" t="s">
        <v>152</v>
      </c>
      <c r="G47">
        <v>0</v>
      </c>
      <c r="H47">
        <v>2</v>
      </c>
      <c r="I47" t="s">
        <v>254</v>
      </c>
      <c r="J47" t="s">
        <v>201</v>
      </c>
    </row>
    <row r="48" spans="1:10" x14ac:dyDescent="0.35">
      <c r="A48">
        <v>51174</v>
      </c>
      <c r="B48" t="s">
        <v>149</v>
      </c>
      <c r="C48" t="s">
        <v>255</v>
      </c>
      <c r="D48" t="s">
        <v>203</v>
      </c>
      <c r="E48" t="s">
        <v>152</v>
      </c>
      <c r="G48">
        <v>0</v>
      </c>
      <c r="H48">
        <v>2</v>
      </c>
      <c r="I48" t="s">
        <v>256</v>
      </c>
      <c r="J48" t="s">
        <v>201</v>
      </c>
    </row>
    <row r="49" spans="1:10" x14ac:dyDescent="0.35">
      <c r="A49">
        <v>51175</v>
      </c>
      <c r="B49" t="s">
        <v>149</v>
      </c>
      <c r="C49" t="s">
        <v>257</v>
      </c>
      <c r="D49" t="s">
        <v>203</v>
      </c>
      <c r="E49" t="s">
        <v>152</v>
      </c>
      <c r="G49">
        <v>1</v>
      </c>
      <c r="H49">
        <v>4</v>
      </c>
      <c r="I49" t="s">
        <v>258</v>
      </c>
      <c r="J49" t="s">
        <v>201</v>
      </c>
    </row>
    <row r="50" spans="1:10" x14ac:dyDescent="0.35">
      <c r="A50">
        <v>51176</v>
      </c>
      <c r="B50" t="s">
        <v>149</v>
      </c>
      <c r="C50" t="s">
        <v>259</v>
      </c>
      <c r="D50" t="s">
        <v>203</v>
      </c>
      <c r="E50" t="s">
        <v>152</v>
      </c>
      <c r="G50">
        <v>1</v>
      </c>
      <c r="H50">
        <v>3</v>
      </c>
      <c r="I50" t="s">
        <v>260</v>
      </c>
      <c r="J50" t="s">
        <v>201</v>
      </c>
    </row>
    <row r="51" spans="1:10" x14ac:dyDescent="0.35">
      <c r="A51">
        <v>51177</v>
      </c>
      <c r="B51" t="s">
        <v>149</v>
      </c>
      <c r="C51" t="s">
        <v>261</v>
      </c>
      <c r="D51" t="s">
        <v>203</v>
      </c>
      <c r="E51" t="s">
        <v>152</v>
      </c>
      <c r="G51">
        <v>1</v>
      </c>
      <c r="H51">
        <v>3</v>
      </c>
      <c r="I51" t="s">
        <v>262</v>
      </c>
      <c r="J51" t="s">
        <v>201</v>
      </c>
    </row>
    <row r="52" spans="1:10" x14ac:dyDescent="0.35">
      <c r="A52">
        <v>51178</v>
      </c>
      <c r="B52" t="s">
        <v>149</v>
      </c>
      <c r="C52" t="s">
        <v>263</v>
      </c>
      <c r="D52" t="s">
        <v>203</v>
      </c>
      <c r="E52" t="s">
        <v>152</v>
      </c>
      <c r="G52">
        <v>0</v>
      </c>
      <c r="H52">
        <v>2</v>
      </c>
      <c r="I52" t="s">
        <v>264</v>
      </c>
      <c r="J52" t="s">
        <v>201</v>
      </c>
    </row>
    <row r="53" spans="1:10" x14ac:dyDescent="0.35">
      <c r="A53">
        <v>51179</v>
      </c>
      <c r="B53" t="s">
        <v>149</v>
      </c>
      <c r="C53" t="s">
        <v>265</v>
      </c>
      <c r="D53" t="s">
        <v>203</v>
      </c>
      <c r="E53" t="s">
        <v>152</v>
      </c>
      <c r="G53">
        <v>0</v>
      </c>
      <c r="H53">
        <v>3</v>
      </c>
      <c r="I53" t="s">
        <v>266</v>
      </c>
      <c r="J53" t="s">
        <v>201</v>
      </c>
    </row>
    <row r="54" spans="1:10" x14ac:dyDescent="0.35">
      <c r="A54">
        <v>51180</v>
      </c>
      <c r="B54" t="s">
        <v>149</v>
      </c>
      <c r="C54" t="s">
        <v>267</v>
      </c>
      <c r="D54" t="s">
        <v>203</v>
      </c>
      <c r="E54" t="s">
        <v>152</v>
      </c>
      <c r="G54">
        <v>0</v>
      </c>
      <c r="H54">
        <v>4</v>
      </c>
      <c r="I54" t="s">
        <v>268</v>
      </c>
      <c r="J54" t="s">
        <v>201</v>
      </c>
    </row>
    <row r="55" spans="1:10" x14ac:dyDescent="0.35">
      <c r="A55">
        <v>51181</v>
      </c>
      <c r="B55" t="s">
        <v>149</v>
      </c>
      <c r="C55" t="s">
        <v>269</v>
      </c>
      <c r="D55" t="s">
        <v>203</v>
      </c>
      <c r="E55" t="s">
        <v>152</v>
      </c>
      <c r="G55">
        <v>0</v>
      </c>
      <c r="H55">
        <v>4</v>
      </c>
      <c r="I55" t="s">
        <v>270</v>
      </c>
      <c r="J55" t="s">
        <v>201</v>
      </c>
    </row>
    <row r="56" spans="1:10" x14ac:dyDescent="0.35">
      <c r="A56">
        <v>51182</v>
      </c>
      <c r="B56" t="s">
        <v>149</v>
      </c>
      <c r="C56" t="s">
        <v>271</v>
      </c>
      <c r="D56" t="s">
        <v>203</v>
      </c>
      <c r="E56" t="s">
        <v>152</v>
      </c>
      <c r="G56">
        <v>0</v>
      </c>
      <c r="H56">
        <v>4</v>
      </c>
      <c r="I56" t="s">
        <v>272</v>
      </c>
      <c r="J56" t="s">
        <v>201</v>
      </c>
    </row>
    <row r="57" spans="1:10" x14ac:dyDescent="0.35">
      <c r="A57">
        <v>51223</v>
      </c>
      <c r="B57" t="s">
        <v>149</v>
      </c>
      <c r="C57" t="s">
        <v>273</v>
      </c>
      <c r="D57" t="s">
        <v>151</v>
      </c>
      <c r="E57" t="s">
        <v>152</v>
      </c>
      <c r="G57">
        <v>0</v>
      </c>
      <c r="H57">
        <v>8</v>
      </c>
      <c r="I57" t="s">
        <v>274</v>
      </c>
      <c r="J57" t="s">
        <v>154</v>
      </c>
    </row>
    <row r="58" spans="1:10" x14ac:dyDescent="0.35">
      <c r="A58">
        <v>51224</v>
      </c>
      <c r="B58" t="s">
        <v>149</v>
      </c>
      <c r="C58" t="s">
        <v>275</v>
      </c>
      <c r="D58" t="s">
        <v>151</v>
      </c>
      <c r="E58" t="s">
        <v>152</v>
      </c>
      <c r="G58">
        <v>0</v>
      </c>
      <c r="H58">
        <v>4</v>
      </c>
      <c r="I58" t="s">
        <v>274</v>
      </c>
      <c r="J58" t="s">
        <v>154</v>
      </c>
    </row>
    <row r="59" spans="1:10" x14ac:dyDescent="0.35">
      <c r="A59">
        <v>51225</v>
      </c>
      <c r="B59" t="s">
        <v>149</v>
      </c>
      <c r="C59" t="s">
        <v>276</v>
      </c>
      <c r="D59" t="s">
        <v>151</v>
      </c>
      <c r="E59" t="s">
        <v>152</v>
      </c>
      <c r="G59">
        <v>0</v>
      </c>
      <c r="H59">
        <v>4</v>
      </c>
      <c r="I59" t="s">
        <v>274</v>
      </c>
      <c r="J59" t="s">
        <v>154</v>
      </c>
    </row>
    <row r="60" spans="1:10" x14ac:dyDescent="0.35">
      <c r="A60">
        <v>51409</v>
      </c>
      <c r="B60" t="s">
        <v>149</v>
      </c>
      <c r="C60" t="s">
        <v>277</v>
      </c>
      <c r="D60" t="s">
        <v>176</v>
      </c>
      <c r="E60" t="s">
        <v>152</v>
      </c>
      <c r="G60">
        <v>0</v>
      </c>
      <c r="H60">
        <v>6</v>
      </c>
      <c r="I60" t="s">
        <v>278</v>
      </c>
      <c r="J60" t="s">
        <v>154</v>
      </c>
    </row>
    <row r="61" spans="1:10" x14ac:dyDescent="0.35">
      <c r="A61">
        <v>51422</v>
      </c>
      <c r="B61" t="s">
        <v>149</v>
      </c>
      <c r="C61" t="s">
        <v>279</v>
      </c>
      <c r="D61" t="s">
        <v>280</v>
      </c>
      <c r="E61" t="s">
        <v>152</v>
      </c>
      <c r="G61">
        <v>0</v>
      </c>
      <c r="H61">
        <v>2</v>
      </c>
      <c r="I61" t="s">
        <v>281</v>
      </c>
      <c r="J61" t="s">
        <v>187</v>
      </c>
    </row>
    <row r="62" spans="1:10" x14ac:dyDescent="0.35">
      <c r="A62">
        <v>51423</v>
      </c>
      <c r="B62" t="s">
        <v>149</v>
      </c>
      <c r="C62" t="s">
        <v>282</v>
      </c>
      <c r="D62" t="s">
        <v>280</v>
      </c>
      <c r="E62" t="s">
        <v>152</v>
      </c>
      <c r="G62">
        <v>0</v>
      </c>
      <c r="H62">
        <v>2</v>
      </c>
      <c r="I62" t="s">
        <v>283</v>
      </c>
      <c r="J62" t="s">
        <v>187</v>
      </c>
    </row>
    <row r="63" spans="1:10" x14ac:dyDescent="0.35">
      <c r="A63">
        <v>51424</v>
      </c>
      <c r="B63" t="s">
        <v>149</v>
      </c>
      <c r="C63" t="s">
        <v>282</v>
      </c>
      <c r="D63" t="s">
        <v>280</v>
      </c>
      <c r="E63" t="s">
        <v>152</v>
      </c>
      <c r="G63">
        <v>0</v>
      </c>
      <c r="H63">
        <v>2</v>
      </c>
      <c r="I63" t="s">
        <v>284</v>
      </c>
      <c r="J63" t="s">
        <v>187</v>
      </c>
    </row>
    <row r="64" spans="1:10" x14ac:dyDescent="0.35">
      <c r="A64">
        <v>51425</v>
      </c>
      <c r="B64" t="s">
        <v>149</v>
      </c>
      <c r="C64" t="s">
        <v>282</v>
      </c>
      <c r="D64" t="s">
        <v>280</v>
      </c>
      <c r="E64" t="s">
        <v>152</v>
      </c>
      <c r="G64">
        <v>0</v>
      </c>
      <c r="H64">
        <v>2</v>
      </c>
      <c r="I64" t="s">
        <v>285</v>
      </c>
      <c r="J64" t="s">
        <v>187</v>
      </c>
    </row>
    <row r="65" spans="1:10" x14ac:dyDescent="0.35">
      <c r="A65">
        <v>51426</v>
      </c>
      <c r="B65" t="s">
        <v>149</v>
      </c>
      <c r="C65" t="s">
        <v>286</v>
      </c>
      <c r="D65" t="s">
        <v>280</v>
      </c>
      <c r="E65" t="s">
        <v>152</v>
      </c>
      <c r="G65">
        <v>0</v>
      </c>
      <c r="H65">
        <v>6</v>
      </c>
      <c r="I65" t="s">
        <v>287</v>
      </c>
      <c r="J65" t="s">
        <v>187</v>
      </c>
    </row>
    <row r="66" spans="1:10" x14ac:dyDescent="0.35">
      <c r="A66">
        <v>51427</v>
      </c>
      <c r="B66" t="s">
        <v>149</v>
      </c>
      <c r="C66" t="s">
        <v>288</v>
      </c>
      <c r="D66" t="s">
        <v>280</v>
      </c>
      <c r="E66" t="s">
        <v>152</v>
      </c>
      <c r="G66">
        <v>0</v>
      </c>
      <c r="H66">
        <v>2</v>
      </c>
      <c r="I66" t="s">
        <v>289</v>
      </c>
      <c r="J66" t="s">
        <v>187</v>
      </c>
    </row>
    <row r="67" spans="1:10" x14ac:dyDescent="0.35">
      <c r="A67">
        <v>51431</v>
      </c>
      <c r="B67" t="s">
        <v>149</v>
      </c>
      <c r="C67" t="s">
        <v>290</v>
      </c>
      <c r="D67" t="s">
        <v>176</v>
      </c>
      <c r="E67" t="s">
        <v>152</v>
      </c>
      <c r="G67">
        <v>0</v>
      </c>
      <c r="H67">
        <v>10</v>
      </c>
      <c r="I67" t="s">
        <v>291</v>
      </c>
      <c r="J67" t="s">
        <v>154</v>
      </c>
    </row>
    <row r="68" spans="1:10" x14ac:dyDescent="0.35">
      <c r="A68">
        <v>51681</v>
      </c>
      <c r="B68" t="s">
        <v>149</v>
      </c>
      <c r="C68" t="s">
        <v>292</v>
      </c>
      <c r="D68" t="s">
        <v>293</v>
      </c>
      <c r="E68" t="s">
        <v>152</v>
      </c>
      <c r="G68">
        <v>1</v>
      </c>
      <c r="H68">
        <v>6</v>
      </c>
      <c r="I68" t="s">
        <v>294</v>
      </c>
      <c r="J68" t="s">
        <v>154</v>
      </c>
    </row>
    <row r="69" spans="1:10" x14ac:dyDescent="0.35">
      <c r="A69">
        <v>51682</v>
      </c>
      <c r="B69" t="s">
        <v>149</v>
      </c>
      <c r="C69" t="s">
        <v>295</v>
      </c>
      <c r="D69" t="s">
        <v>293</v>
      </c>
      <c r="E69" t="s">
        <v>152</v>
      </c>
      <c r="G69">
        <v>1</v>
      </c>
      <c r="H69">
        <v>6</v>
      </c>
      <c r="I69" t="s">
        <v>294</v>
      </c>
      <c r="J69" t="s">
        <v>154</v>
      </c>
    </row>
    <row r="70" spans="1:10" x14ac:dyDescent="0.35">
      <c r="A70">
        <v>51683</v>
      </c>
      <c r="B70" t="s">
        <v>149</v>
      </c>
      <c r="C70" t="s">
        <v>296</v>
      </c>
      <c r="D70" t="s">
        <v>293</v>
      </c>
      <c r="E70" t="s">
        <v>152</v>
      </c>
      <c r="G70">
        <v>0</v>
      </c>
      <c r="H70">
        <v>6</v>
      </c>
      <c r="I70" t="s">
        <v>297</v>
      </c>
      <c r="J70" t="s">
        <v>154</v>
      </c>
    </row>
    <row r="71" spans="1:10" x14ac:dyDescent="0.35">
      <c r="A71">
        <v>51684</v>
      </c>
      <c r="B71" t="s">
        <v>149</v>
      </c>
      <c r="C71" t="s">
        <v>298</v>
      </c>
      <c r="D71" t="s">
        <v>293</v>
      </c>
      <c r="E71" t="s">
        <v>152</v>
      </c>
      <c r="G71">
        <v>0</v>
      </c>
      <c r="H71">
        <v>5</v>
      </c>
      <c r="I71" t="s">
        <v>299</v>
      </c>
      <c r="J71" t="s">
        <v>154</v>
      </c>
    </row>
    <row r="72" spans="1:10" x14ac:dyDescent="0.35">
      <c r="A72">
        <v>51685</v>
      </c>
      <c r="B72" t="s">
        <v>149</v>
      </c>
      <c r="C72" t="s">
        <v>300</v>
      </c>
      <c r="D72" t="s">
        <v>293</v>
      </c>
      <c r="E72" t="s">
        <v>152</v>
      </c>
      <c r="G72">
        <v>0</v>
      </c>
      <c r="H72">
        <v>6</v>
      </c>
      <c r="I72" t="s">
        <v>301</v>
      </c>
      <c r="J72" t="s">
        <v>154</v>
      </c>
    </row>
    <row r="73" spans="1:10" x14ac:dyDescent="0.35">
      <c r="A73">
        <v>51686</v>
      </c>
      <c r="B73" t="s">
        <v>149</v>
      </c>
      <c r="C73" t="s">
        <v>302</v>
      </c>
      <c r="D73" t="s">
        <v>293</v>
      </c>
      <c r="E73" t="s">
        <v>152</v>
      </c>
      <c r="G73">
        <v>0</v>
      </c>
      <c r="H73">
        <v>5</v>
      </c>
      <c r="I73" t="s">
        <v>303</v>
      </c>
      <c r="J73" t="s">
        <v>154</v>
      </c>
    </row>
    <row r="74" spans="1:10" x14ac:dyDescent="0.35">
      <c r="A74">
        <v>51687</v>
      </c>
      <c r="B74" t="s">
        <v>149</v>
      </c>
      <c r="C74" t="s">
        <v>304</v>
      </c>
      <c r="D74" t="s">
        <v>293</v>
      </c>
      <c r="E74" t="s">
        <v>152</v>
      </c>
      <c r="G74">
        <v>0</v>
      </c>
      <c r="H74">
        <v>5</v>
      </c>
      <c r="I74" t="s">
        <v>305</v>
      </c>
      <c r="J74" t="s">
        <v>154</v>
      </c>
    </row>
    <row r="75" spans="1:10" x14ac:dyDescent="0.35">
      <c r="A75">
        <v>51688</v>
      </c>
      <c r="B75" t="s">
        <v>149</v>
      </c>
      <c r="C75" t="s">
        <v>306</v>
      </c>
      <c r="D75" t="s">
        <v>293</v>
      </c>
      <c r="E75" t="s">
        <v>152</v>
      </c>
      <c r="G75">
        <v>0</v>
      </c>
      <c r="H75">
        <v>5</v>
      </c>
      <c r="I75" t="s">
        <v>307</v>
      </c>
      <c r="J75" t="s">
        <v>154</v>
      </c>
    </row>
    <row r="76" spans="1:10" x14ac:dyDescent="0.35">
      <c r="A76">
        <v>51689</v>
      </c>
      <c r="B76" t="s">
        <v>149</v>
      </c>
      <c r="C76" t="s">
        <v>308</v>
      </c>
      <c r="D76" t="s">
        <v>293</v>
      </c>
      <c r="E76" t="s">
        <v>152</v>
      </c>
      <c r="G76">
        <v>1</v>
      </c>
      <c r="H76">
        <v>5</v>
      </c>
      <c r="I76" t="s">
        <v>294</v>
      </c>
      <c r="J76" t="s">
        <v>154</v>
      </c>
    </row>
    <row r="77" spans="1:10" x14ac:dyDescent="0.35">
      <c r="A77">
        <v>51711</v>
      </c>
      <c r="B77" t="s">
        <v>149</v>
      </c>
      <c r="C77" t="s">
        <v>309</v>
      </c>
      <c r="D77" t="s">
        <v>280</v>
      </c>
      <c r="E77" t="s">
        <v>152</v>
      </c>
      <c r="G77">
        <v>0</v>
      </c>
      <c r="H77">
        <v>2</v>
      </c>
      <c r="I77" t="s">
        <v>310</v>
      </c>
      <c r="J77" t="s">
        <v>187</v>
      </c>
    </row>
    <row r="78" spans="1:10" x14ac:dyDescent="0.35">
      <c r="A78">
        <v>51712</v>
      </c>
      <c r="B78" t="s">
        <v>149</v>
      </c>
      <c r="C78" t="s">
        <v>311</v>
      </c>
      <c r="D78" t="s">
        <v>280</v>
      </c>
      <c r="E78" t="s">
        <v>152</v>
      </c>
      <c r="G78">
        <v>0</v>
      </c>
      <c r="H78">
        <v>2</v>
      </c>
      <c r="I78" t="s">
        <v>312</v>
      </c>
      <c r="J78" t="s">
        <v>187</v>
      </c>
    </row>
    <row r="79" spans="1:10" x14ac:dyDescent="0.35">
      <c r="A79">
        <v>51713</v>
      </c>
      <c r="B79" t="s">
        <v>149</v>
      </c>
      <c r="C79" t="s">
        <v>313</v>
      </c>
      <c r="D79" t="s">
        <v>280</v>
      </c>
      <c r="E79" t="s">
        <v>152</v>
      </c>
      <c r="G79">
        <v>0</v>
      </c>
      <c r="H79">
        <v>2</v>
      </c>
      <c r="I79" t="s">
        <v>314</v>
      </c>
      <c r="J79" t="s">
        <v>187</v>
      </c>
    </row>
    <row r="80" spans="1:10" x14ac:dyDescent="0.35">
      <c r="A80">
        <v>51714</v>
      </c>
      <c r="B80" t="s">
        <v>149</v>
      </c>
      <c r="C80" t="s">
        <v>315</v>
      </c>
      <c r="D80" t="s">
        <v>280</v>
      </c>
      <c r="E80" t="s">
        <v>152</v>
      </c>
      <c r="G80">
        <v>0</v>
      </c>
      <c r="H80">
        <v>2</v>
      </c>
      <c r="I80" t="s">
        <v>316</v>
      </c>
      <c r="J80" t="s">
        <v>187</v>
      </c>
    </row>
    <row r="81" spans="1:10" x14ac:dyDescent="0.35">
      <c r="A81">
        <v>51715</v>
      </c>
      <c r="B81" t="s">
        <v>149</v>
      </c>
      <c r="C81" t="s">
        <v>317</v>
      </c>
      <c r="D81" t="s">
        <v>280</v>
      </c>
      <c r="E81" t="s">
        <v>152</v>
      </c>
      <c r="G81">
        <v>0</v>
      </c>
      <c r="H81">
        <v>2</v>
      </c>
      <c r="I81" t="s">
        <v>318</v>
      </c>
      <c r="J81" t="s">
        <v>187</v>
      </c>
    </row>
    <row r="82" spans="1:10" x14ac:dyDescent="0.35">
      <c r="A82">
        <v>51716</v>
      </c>
      <c r="B82" t="s">
        <v>149</v>
      </c>
      <c r="C82" t="s">
        <v>319</v>
      </c>
      <c r="D82" t="s">
        <v>280</v>
      </c>
      <c r="E82" t="s">
        <v>152</v>
      </c>
      <c r="G82">
        <v>0</v>
      </c>
      <c r="H82">
        <v>2</v>
      </c>
      <c r="I82" t="s">
        <v>320</v>
      </c>
      <c r="J82" t="s">
        <v>187</v>
      </c>
    </row>
    <row r="83" spans="1:10" x14ac:dyDescent="0.35">
      <c r="A83">
        <v>51717</v>
      </c>
      <c r="B83" t="s">
        <v>149</v>
      </c>
      <c r="C83" t="s">
        <v>321</v>
      </c>
      <c r="D83" t="s">
        <v>280</v>
      </c>
      <c r="E83" t="s">
        <v>152</v>
      </c>
      <c r="G83">
        <v>0</v>
      </c>
      <c r="H83">
        <v>2</v>
      </c>
      <c r="I83" t="s">
        <v>322</v>
      </c>
      <c r="J83" t="s">
        <v>187</v>
      </c>
    </row>
    <row r="84" spans="1:10" x14ac:dyDescent="0.35">
      <c r="A84">
        <v>51718</v>
      </c>
      <c r="B84" t="s">
        <v>149</v>
      </c>
      <c r="C84" t="s">
        <v>323</v>
      </c>
      <c r="D84" t="s">
        <v>280</v>
      </c>
      <c r="E84" t="s">
        <v>152</v>
      </c>
      <c r="G84">
        <v>0</v>
      </c>
      <c r="H84">
        <v>2</v>
      </c>
      <c r="I84" t="s">
        <v>324</v>
      </c>
      <c r="J84" t="s">
        <v>187</v>
      </c>
    </row>
    <row r="85" spans="1:10" x14ac:dyDescent="0.35">
      <c r="A85">
        <v>51719</v>
      </c>
      <c r="B85" t="s">
        <v>149</v>
      </c>
      <c r="C85" t="s">
        <v>325</v>
      </c>
      <c r="D85" t="s">
        <v>280</v>
      </c>
      <c r="E85" t="s">
        <v>152</v>
      </c>
      <c r="G85">
        <v>0</v>
      </c>
      <c r="H85">
        <v>2</v>
      </c>
      <c r="I85" t="s">
        <v>326</v>
      </c>
      <c r="J85" t="s">
        <v>187</v>
      </c>
    </row>
    <row r="86" spans="1:10" x14ac:dyDescent="0.35">
      <c r="A86">
        <v>51725</v>
      </c>
      <c r="B86" t="s">
        <v>149</v>
      </c>
      <c r="C86" t="s">
        <v>327</v>
      </c>
      <c r="D86" t="s">
        <v>280</v>
      </c>
      <c r="E86" t="s">
        <v>152</v>
      </c>
      <c r="G86">
        <v>1</v>
      </c>
      <c r="H86">
        <v>5</v>
      </c>
      <c r="I86" t="s">
        <v>328</v>
      </c>
      <c r="J86" t="s">
        <v>201</v>
      </c>
    </row>
    <row r="87" spans="1:10" x14ac:dyDescent="0.35">
      <c r="A87">
        <v>51726</v>
      </c>
      <c r="B87" t="s">
        <v>149</v>
      </c>
      <c r="C87" t="s">
        <v>329</v>
      </c>
      <c r="D87" t="s">
        <v>280</v>
      </c>
      <c r="E87" t="s">
        <v>152</v>
      </c>
      <c r="G87">
        <v>0</v>
      </c>
      <c r="H87">
        <v>2</v>
      </c>
      <c r="I87" t="s">
        <v>330</v>
      </c>
      <c r="J87" t="s">
        <v>201</v>
      </c>
    </row>
    <row r="88" spans="1:10" x14ac:dyDescent="0.35">
      <c r="A88">
        <v>51727</v>
      </c>
      <c r="B88" t="s">
        <v>149</v>
      </c>
      <c r="C88" t="s">
        <v>331</v>
      </c>
      <c r="D88" t="s">
        <v>280</v>
      </c>
      <c r="E88" t="s">
        <v>152</v>
      </c>
      <c r="G88">
        <v>0</v>
      </c>
      <c r="H88">
        <v>2</v>
      </c>
      <c r="I88" t="s">
        <v>332</v>
      </c>
      <c r="J88" t="s">
        <v>201</v>
      </c>
    </row>
    <row r="89" spans="1:10" x14ac:dyDescent="0.35">
      <c r="A89">
        <v>51728</v>
      </c>
      <c r="B89" t="s">
        <v>149</v>
      </c>
      <c r="C89" t="s">
        <v>333</v>
      </c>
      <c r="D89" t="s">
        <v>280</v>
      </c>
      <c r="E89" t="s">
        <v>152</v>
      </c>
      <c r="G89">
        <v>0</v>
      </c>
      <c r="H89">
        <v>2</v>
      </c>
      <c r="I89" t="s">
        <v>334</v>
      </c>
      <c r="J89" t="s">
        <v>201</v>
      </c>
    </row>
    <row r="90" spans="1:10" x14ac:dyDescent="0.35">
      <c r="A90">
        <v>51729</v>
      </c>
      <c r="B90" t="s">
        <v>149</v>
      </c>
      <c r="C90" t="s">
        <v>335</v>
      </c>
      <c r="D90" t="s">
        <v>280</v>
      </c>
      <c r="E90" t="s">
        <v>152</v>
      </c>
      <c r="G90">
        <v>0</v>
      </c>
      <c r="H90">
        <v>2</v>
      </c>
      <c r="I90" t="s">
        <v>336</v>
      </c>
      <c r="J90" t="s">
        <v>201</v>
      </c>
    </row>
    <row r="91" spans="1:10" x14ac:dyDescent="0.35">
      <c r="A91">
        <v>51730</v>
      </c>
      <c r="B91" t="s">
        <v>149</v>
      </c>
      <c r="C91" t="s">
        <v>337</v>
      </c>
      <c r="D91" t="s">
        <v>338</v>
      </c>
      <c r="E91" t="s">
        <v>152</v>
      </c>
      <c r="G91">
        <v>0</v>
      </c>
      <c r="H91">
        <v>1</v>
      </c>
      <c r="I91" t="s">
        <v>339</v>
      </c>
      <c r="J91" t="s">
        <v>201</v>
      </c>
    </row>
    <row r="92" spans="1:10" x14ac:dyDescent="0.35">
      <c r="A92">
        <v>51731</v>
      </c>
      <c r="B92" t="s">
        <v>149</v>
      </c>
      <c r="C92" t="s">
        <v>340</v>
      </c>
      <c r="D92" t="s">
        <v>280</v>
      </c>
      <c r="E92" t="s">
        <v>152</v>
      </c>
      <c r="G92">
        <v>0</v>
      </c>
      <c r="H92">
        <v>2</v>
      </c>
      <c r="I92" t="s">
        <v>341</v>
      </c>
      <c r="J92" t="s">
        <v>201</v>
      </c>
    </row>
    <row r="93" spans="1:10" x14ac:dyDescent="0.35">
      <c r="A93">
        <v>51732</v>
      </c>
      <c r="B93" t="s">
        <v>149</v>
      </c>
      <c r="C93" t="s">
        <v>342</v>
      </c>
      <c r="D93" t="s">
        <v>280</v>
      </c>
      <c r="E93" t="s">
        <v>152</v>
      </c>
      <c r="G93">
        <v>0</v>
      </c>
      <c r="H93">
        <v>2</v>
      </c>
      <c r="I93" t="s">
        <v>343</v>
      </c>
      <c r="J93" t="s">
        <v>201</v>
      </c>
    </row>
    <row r="94" spans="1:10" x14ac:dyDescent="0.35">
      <c r="A94">
        <v>51733</v>
      </c>
      <c r="B94" t="s">
        <v>149</v>
      </c>
      <c r="C94" t="s">
        <v>344</v>
      </c>
      <c r="D94" t="s">
        <v>280</v>
      </c>
      <c r="E94" t="s">
        <v>152</v>
      </c>
      <c r="G94">
        <v>0</v>
      </c>
      <c r="H94">
        <v>2</v>
      </c>
      <c r="I94" t="s">
        <v>345</v>
      </c>
      <c r="J94" t="s">
        <v>201</v>
      </c>
    </row>
    <row r="95" spans="1:10" x14ac:dyDescent="0.35">
      <c r="A95">
        <v>51734</v>
      </c>
      <c r="B95" t="s">
        <v>149</v>
      </c>
      <c r="C95" t="s">
        <v>346</v>
      </c>
      <c r="D95" t="s">
        <v>280</v>
      </c>
      <c r="E95" t="s">
        <v>152</v>
      </c>
      <c r="G95">
        <v>0</v>
      </c>
      <c r="H95">
        <v>2</v>
      </c>
      <c r="I95" t="s">
        <v>347</v>
      </c>
      <c r="J95" t="s">
        <v>201</v>
      </c>
    </row>
    <row r="96" spans="1:10" x14ac:dyDescent="0.35">
      <c r="A96">
        <v>51735</v>
      </c>
      <c r="B96" t="s">
        <v>149</v>
      </c>
      <c r="C96" t="s">
        <v>348</v>
      </c>
      <c r="D96" t="s">
        <v>280</v>
      </c>
      <c r="E96" t="s">
        <v>152</v>
      </c>
      <c r="G96">
        <v>1</v>
      </c>
      <c r="H96">
        <v>2</v>
      </c>
      <c r="I96" t="s">
        <v>349</v>
      </c>
      <c r="J96" t="s">
        <v>201</v>
      </c>
    </row>
    <row r="97" spans="1:10" x14ac:dyDescent="0.35">
      <c r="A97">
        <v>51736</v>
      </c>
      <c r="B97" t="s">
        <v>149</v>
      </c>
      <c r="C97" t="s">
        <v>350</v>
      </c>
      <c r="D97" t="s">
        <v>280</v>
      </c>
      <c r="E97" t="s">
        <v>152</v>
      </c>
      <c r="G97">
        <v>0</v>
      </c>
      <c r="H97">
        <v>6</v>
      </c>
      <c r="I97" t="s">
        <v>351</v>
      </c>
      <c r="J97" t="s">
        <v>201</v>
      </c>
    </row>
    <row r="98" spans="1:10" x14ac:dyDescent="0.35">
      <c r="A98">
        <v>51737</v>
      </c>
      <c r="B98" t="s">
        <v>149</v>
      </c>
      <c r="C98" t="s">
        <v>352</v>
      </c>
      <c r="D98" t="s">
        <v>280</v>
      </c>
      <c r="E98" t="s">
        <v>152</v>
      </c>
      <c r="G98">
        <v>0</v>
      </c>
      <c r="H98">
        <v>6</v>
      </c>
      <c r="I98" t="s">
        <v>353</v>
      </c>
      <c r="J98" t="s">
        <v>201</v>
      </c>
    </row>
    <row r="99" spans="1:10" x14ac:dyDescent="0.35">
      <c r="A99">
        <v>51738</v>
      </c>
      <c r="B99" t="s">
        <v>149</v>
      </c>
      <c r="C99" t="s">
        <v>354</v>
      </c>
      <c r="D99" t="s">
        <v>280</v>
      </c>
      <c r="E99" t="s">
        <v>152</v>
      </c>
      <c r="G99">
        <v>0</v>
      </c>
      <c r="H99">
        <v>2</v>
      </c>
      <c r="I99" t="s">
        <v>355</v>
      </c>
      <c r="J99" t="s">
        <v>201</v>
      </c>
    </row>
    <row r="100" spans="1:10" x14ac:dyDescent="0.35">
      <c r="A100">
        <v>51739</v>
      </c>
      <c r="B100" t="s">
        <v>149</v>
      </c>
      <c r="C100" t="s">
        <v>356</v>
      </c>
      <c r="D100" t="s">
        <v>280</v>
      </c>
      <c r="E100" t="s">
        <v>152</v>
      </c>
      <c r="G100">
        <v>0</v>
      </c>
      <c r="H100">
        <v>2</v>
      </c>
      <c r="I100" t="s">
        <v>357</v>
      </c>
      <c r="J100" t="s">
        <v>201</v>
      </c>
    </row>
    <row r="101" spans="1:10" x14ac:dyDescent="0.35">
      <c r="A101">
        <v>51740</v>
      </c>
      <c r="B101" t="s">
        <v>149</v>
      </c>
      <c r="C101" t="s">
        <v>358</v>
      </c>
      <c r="D101" t="s">
        <v>280</v>
      </c>
      <c r="E101" t="s">
        <v>152</v>
      </c>
      <c r="G101">
        <v>0</v>
      </c>
      <c r="H101">
        <v>3</v>
      </c>
      <c r="I101" t="s">
        <v>359</v>
      </c>
      <c r="J101" t="s">
        <v>201</v>
      </c>
    </row>
    <row r="102" spans="1:10" x14ac:dyDescent="0.35">
      <c r="A102">
        <v>51741</v>
      </c>
      <c r="B102" t="s">
        <v>149</v>
      </c>
      <c r="C102" t="s">
        <v>360</v>
      </c>
      <c r="D102" t="s">
        <v>280</v>
      </c>
      <c r="E102" t="s">
        <v>152</v>
      </c>
      <c r="G102">
        <v>0</v>
      </c>
      <c r="H102">
        <v>2</v>
      </c>
      <c r="I102" t="s">
        <v>361</v>
      </c>
      <c r="J102" t="s">
        <v>201</v>
      </c>
    </row>
    <row r="103" spans="1:10" x14ac:dyDescent="0.35">
      <c r="A103">
        <v>51742</v>
      </c>
      <c r="B103" t="s">
        <v>149</v>
      </c>
      <c r="C103" t="s">
        <v>362</v>
      </c>
      <c r="D103" t="s">
        <v>280</v>
      </c>
      <c r="E103" t="s">
        <v>152</v>
      </c>
      <c r="G103">
        <v>1</v>
      </c>
      <c r="H103">
        <v>2</v>
      </c>
      <c r="I103" t="s">
        <v>363</v>
      </c>
      <c r="J103" t="s">
        <v>201</v>
      </c>
    </row>
    <row r="104" spans="1:10" x14ac:dyDescent="0.35">
      <c r="A104">
        <v>51743</v>
      </c>
      <c r="B104" t="s">
        <v>149</v>
      </c>
      <c r="C104" t="s">
        <v>364</v>
      </c>
      <c r="D104" t="s">
        <v>280</v>
      </c>
      <c r="E104" t="s">
        <v>152</v>
      </c>
      <c r="G104">
        <v>0</v>
      </c>
      <c r="H104">
        <v>2</v>
      </c>
      <c r="I104" t="s">
        <v>365</v>
      </c>
      <c r="J104" t="s">
        <v>201</v>
      </c>
    </row>
    <row r="105" spans="1:10" x14ac:dyDescent="0.35">
      <c r="A105">
        <v>51744</v>
      </c>
      <c r="B105" t="s">
        <v>149</v>
      </c>
      <c r="C105" t="s">
        <v>366</v>
      </c>
      <c r="D105" t="s">
        <v>280</v>
      </c>
      <c r="E105" t="s">
        <v>152</v>
      </c>
      <c r="G105">
        <v>0</v>
      </c>
      <c r="H105">
        <v>2</v>
      </c>
      <c r="I105" t="s">
        <v>367</v>
      </c>
      <c r="J105" t="s">
        <v>201</v>
      </c>
    </row>
    <row r="106" spans="1:10" x14ac:dyDescent="0.35">
      <c r="A106">
        <v>51745</v>
      </c>
      <c r="B106" t="s">
        <v>149</v>
      </c>
      <c r="C106" t="s">
        <v>368</v>
      </c>
      <c r="D106" t="s">
        <v>280</v>
      </c>
      <c r="E106" t="s">
        <v>152</v>
      </c>
      <c r="G106">
        <v>0</v>
      </c>
      <c r="H106">
        <v>2</v>
      </c>
      <c r="I106" t="s">
        <v>369</v>
      </c>
      <c r="J106" t="s">
        <v>201</v>
      </c>
    </row>
    <row r="107" spans="1:10" x14ac:dyDescent="0.35">
      <c r="A107">
        <v>51746</v>
      </c>
      <c r="B107" t="s">
        <v>149</v>
      </c>
      <c r="C107" t="s">
        <v>370</v>
      </c>
      <c r="D107" t="s">
        <v>280</v>
      </c>
      <c r="E107" t="s">
        <v>152</v>
      </c>
      <c r="G107">
        <v>0</v>
      </c>
      <c r="H107">
        <v>2</v>
      </c>
      <c r="I107" t="s">
        <v>371</v>
      </c>
      <c r="J107" t="s">
        <v>201</v>
      </c>
    </row>
    <row r="108" spans="1:10" x14ac:dyDescent="0.35">
      <c r="A108">
        <v>51747</v>
      </c>
      <c r="B108" t="s">
        <v>149</v>
      </c>
      <c r="C108" t="s">
        <v>372</v>
      </c>
      <c r="D108" t="s">
        <v>280</v>
      </c>
      <c r="E108" t="s">
        <v>152</v>
      </c>
      <c r="G108">
        <v>0</v>
      </c>
      <c r="H108">
        <v>2</v>
      </c>
      <c r="I108" t="s">
        <v>373</v>
      </c>
      <c r="J108" t="s">
        <v>201</v>
      </c>
    </row>
    <row r="109" spans="1:10" x14ac:dyDescent="0.35">
      <c r="A109">
        <v>51748</v>
      </c>
      <c r="B109" t="s">
        <v>149</v>
      </c>
      <c r="C109" t="s">
        <v>374</v>
      </c>
      <c r="D109" t="s">
        <v>280</v>
      </c>
      <c r="E109" t="s">
        <v>152</v>
      </c>
      <c r="G109">
        <v>1</v>
      </c>
      <c r="H109">
        <v>5</v>
      </c>
      <c r="I109" t="s">
        <v>375</v>
      </c>
      <c r="J109" t="s">
        <v>201</v>
      </c>
    </row>
    <row r="110" spans="1:10" x14ac:dyDescent="0.35">
      <c r="A110">
        <v>51749</v>
      </c>
      <c r="B110" t="s">
        <v>149</v>
      </c>
      <c r="C110" t="s">
        <v>376</v>
      </c>
      <c r="D110" t="s">
        <v>280</v>
      </c>
      <c r="E110" t="s">
        <v>152</v>
      </c>
      <c r="G110">
        <v>0</v>
      </c>
      <c r="H110">
        <v>5</v>
      </c>
      <c r="I110" t="s">
        <v>377</v>
      </c>
      <c r="J110" t="s">
        <v>201</v>
      </c>
    </row>
    <row r="111" spans="1:10" x14ac:dyDescent="0.35">
      <c r="A111">
        <v>51750</v>
      </c>
      <c r="B111" t="s">
        <v>149</v>
      </c>
      <c r="C111" t="s">
        <v>378</v>
      </c>
      <c r="D111" t="s">
        <v>280</v>
      </c>
      <c r="E111" t="s">
        <v>152</v>
      </c>
      <c r="G111">
        <v>0</v>
      </c>
      <c r="H111">
        <v>2</v>
      </c>
      <c r="I111" t="s">
        <v>379</v>
      </c>
      <c r="J111" t="s">
        <v>201</v>
      </c>
    </row>
    <row r="112" spans="1:10" x14ac:dyDescent="0.35">
      <c r="A112">
        <v>51751</v>
      </c>
      <c r="B112" t="s">
        <v>149</v>
      </c>
      <c r="C112" t="s">
        <v>380</v>
      </c>
      <c r="D112" t="s">
        <v>280</v>
      </c>
      <c r="E112" t="s">
        <v>152</v>
      </c>
      <c r="G112">
        <v>0</v>
      </c>
      <c r="H112">
        <v>2</v>
      </c>
      <c r="I112" t="s">
        <v>381</v>
      </c>
      <c r="J112" t="s">
        <v>201</v>
      </c>
    </row>
    <row r="113" spans="1:10" x14ac:dyDescent="0.35">
      <c r="A113">
        <v>51752</v>
      </c>
      <c r="B113" t="s">
        <v>149</v>
      </c>
      <c r="C113" t="s">
        <v>382</v>
      </c>
      <c r="D113" t="s">
        <v>280</v>
      </c>
      <c r="E113" t="s">
        <v>152</v>
      </c>
      <c r="G113">
        <v>0</v>
      </c>
      <c r="H113">
        <v>2</v>
      </c>
      <c r="I113" t="s">
        <v>383</v>
      </c>
      <c r="J113" t="s">
        <v>201</v>
      </c>
    </row>
    <row r="114" spans="1:10" x14ac:dyDescent="0.35">
      <c r="A114">
        <v>51753</v>
      </c>
      <c r="B114" t="s">
        <v>149</v>
      </c>
      <c r="C114" t="s">
        <v>384</v>
      </c>
      <c r="D114" t="s">
        <v>280</v>
      </c>
      <c r="E114" t="s">
        <v>152</v>
      </c>
      <c r="G114">
        <v>0</v>
      </c>
      <c r="H114">
        <v>2</v>
      </c>
      <c r="I114" t="s">
        <v>385</v>
      </c>
      <c r="J114" t="s">
        <v>201</v>
      </c>
    </row>
    <row r="115" spans="1:10" x14ac:dyDescent="0.35">
      <c r="A115">
        <v>51754</v>
      </c>
      <c r="B115" t="s">
        <v>149</v>
      </c>
      <c r="C115" t="s">
        <v>386</v>
      </c>
      <c r="D115" t="s">
        <v>280</v>
      </c>
      <c r="E115" t="s">
        <v>152</v>
      </c>
      <c r="G115">
        <v>0</v>
      </c>
      <c r="H115">
        <v>3</v>
      </c>
      <c r="I115" t="s">
        <v>387</v>
      </c>
      <c r="J115" t="s">
        <v>201</v>
      </c>
    </row>
    <row r="116" spans="1:10" x14ac:dyDescent="0.35">
      <c r="A116">
        <v>51755</v>
      </c>
      <c r="B116" t="s">
        <v>149</v>
      </c>
      <c r="C116" t="s">
        <v>388</v>
      </c>
      <c r="D116" t="s">
        <v>280</v>
      </c>
      <c r="E116" t="s">
        <v>152</v>
      </c>
      <c r="G116">
        <v>0</v>
      </c>
      <c r="H116">
        <v>2</v>
      </c>
      <c r="I116" t="s">
        <v>389</v>
      </c>
      <c r="J116" t="s">
        <v>201</v>
      </c>
    </row>
    <row r="117" spans="1:10" x14ac:dyDescent="0.35">
      <c r="A117">
        <v>51756</v>
      </c>
      <c r="B117" t="s">
        <v>149</v>
      </c>
      <c r="C117" t="s">
        <v>390</v>
      </c>
      <c r="D117" t="s">
        <v>280</v>
      </c>
      <c r="E117" t="s">
        <v>152</v>
      </c>
      <c r="G117">
        <v>0</v>
      </c>
      <c r="H117">
        <v>2</v>
      </c>
      <c r="I117" t="s">
        <v>391</v>
      </c>
      <c r="J117" t="s">
        <v>201</v>
      </c>
    </row>
    <row r="118" spans="1:10" x14ac:dyDescent="0.35">
      <c r="A118">
        <v>51757</v>
      </c>
      <c r="B118" t="s">
        <v>149</v>
      </c>
      <c r="C118" t="s">
        <v>392</v>
      </c>
      <c r="D118" t="s">
        <v>280</v>
      </c>
      <c r="E118" t="s">
        <v>152</v>
      </c>
      <c r="G118">
        <v>0</v>
      </c>
      <c r="H118">
        <v>2</v>
      </c>
      <c r="I118" t="s">
        <v>393</v>
      </c>
      <c r="J118" t="s">
        <v>201</v>
      </c>
    </row>
    <row r="119" spans="1:10" x14ac:dyDescent="0.35">
      <c r="A119">
        <v>51758</v>
      </c>
      <c r="B119" t="s">
        <v>149</v>
      </c>
      <c r="C119" t="s">
        <v>394</v>
      </c>
      <c r="D119" t="s">
        <v>280</v>
      </c>
      <c r="E119" t="s">
        <v>152</v>
      </c>
      <c r="G119">
        <v>0</v>
      </c>
      <c r="H119">
        <v>2</v>
      </c>
      <c r="I119" t="s">
        <v>395</v>
      </c>
      <c r="J119" t="s">
        <v>201</v>
      </c>
    </row>
    <row r="120" spans="1:10" x14ac:dyDescent="0.35">
      <c r="A120">
        <v>51759</v>
      </c>
      <c r="B120" t="s">
        <v>149</v>
      </c>
      <c r="C120" t="s">
        <v>396</v>
      </c>
      <c r="D120" t="s">
        <v>280</v>
      </c>
      <c r="E120" t="s">
        <v>152</v>
      </c>
      <c r="G120">
        <v>0</v>
      </c>
      <c r="H120">
        <v>2</v>
      </c>
      <c r="I120" t="s">
        <v>397</v>
      </c>
      <c r="J120" t="s">
        <v>201</v>
      </c>
    </row>
    <row r="121" spans="1:10" x14ac:dyDescent="0.35">
      <c r="A121">
        <v>51760</v>
      </c>
      <c r="B121" t="s">
        <v>149</v>
      </c>
      <c r="C121" t="s">
        <v>398</v>
      </c>
      <c r="D121" t="s">
        <v>280</v>
      </c>
      <c r="E121" t="s">
        <v>152</v>
      </c>
      <c r="G121">
        <v>0</v>
      </c>
      <c r="H121">
        <v>2</v>
      </c>
      <c r="I121" t="s">
        <v>399</v>
      </c>
      <c r="J121" t="s">
        <v>201</v>
      </c>
    </row>
    <row r="122" spans="1:10" x14ac:dyDescent="0.35">
      <c r="A122">
        <v>51761</v>
      </c>
      <c r="B122" t="s">
        <v>149</v>
      </c>
      <c r="C122" t="s">
        <v>400</v>
      </c>
      <c r="D122" t="s">
        <v>280</v>
      </c>
      <c r="E122" t="s">
        <v>152</v>
      </c>
      <c r="G122">
        <v>0</v>
      </c>
      <c r="H122">
        <v>2</v>
      </c>
      <c r="I122" t="s">
        <v>401</v>
      </c>
      <c r="J122" t="s">
        <v>201</v>
      </c>
    </row>
    <row r="123" spans="1:10" x14ac:dyDescent="0.35">
      <c r="A123">
        <v>51762</v>
      </c>
      <c r="B123" t="s">
        <v>149</v>
      </c>
      <c r="C123" t="s">
        <v>402</v>
      </c>
      <c r="D123" t="s">
        <v>280</v>
      </c>
      <c r="E123" t="s">
        <v>152</v>
      </c>
      <c r="G123">
        <v>0</v>
      </c>
      <c r="H123">
        <v>2</v>
      </c>
      <c r="I123" t="s">
        <v>403</v>
      </c>
      <c r="J123" t="s">
        <v>201</v>
      </c>
    </row>
    <row r="124" spans="1:10" x14ac:dyDescent="0.35">
      <c r="A124">
        <v>51763</v>
      </c>
      <c r="B124" t="s">
        <v>149</v>
      </c>
      <c r="C124" t="s">
        <v>404</v>
      </c>
      <c r="D124" t="s">
        <v>280</v>
      </c>
      <c r="E124" t="s">
        <v>152</v>
      </c>
      <c r="G124">
        <v>1</v>
      </c>
      <c r="H124">
        <v>2</v>
      </c>
      <c r="I124" t="s">
        <v>405</v>
      </c>
      <c r="J124" t="s">
        <v>201</v>
      </c>
    </row>
    <row r="125" spans="1:10" x14ac:dyDescent="0.35">
      <c r="A125">
        <v>51764</v>
      </c>
      <c r="B125" t="s">
        <v>149</v>
      </c>
      <c r="C125" t="s">
        <v>406</v>
      </c>
      <c r="D125" t="s">
        <v>280</v>
      </c>
      <c r="E125" t="s">
        <v>152</v>
      </c>
      <c r="G125">
        <v>0</v>
      </c>
      <c r="H125">
        <v>2</v>
      </c>
      <c r="I125" t="s">
        <v>407</v>
      </c>
      <c r="J125" t="s">
        <v>201</v>
      </c>
    </row>
    <row r="126" spans="1:10" x14ac:dyDescent="0.35">
      <c r="A126">
        <v>51765</v>
      </c>
      <c r="B126" t="s">
        <v>149</v>
      </c>
      <c r="C126" t="s">
        <v>408</v>
      </c>
      <c r="D126" t="s">
        <v>280</v>
      </c>
      <c r="E126" t="s">
        <v>152</v>
      </c>
      <c r="G126">
        <v>0</v>
      </c>
      <c r="H126">
        <v>2</v>
      </c>
      <c r="I126" t="s">
        <v>409</v>
      </c>
      <c r="J126" t="s">
        <v>201</v>
      </c>
    </row>
    <row r="127" spans="1:10" x14ac:dyDescent="0.35">
      <c r="A127">
        <v>51766</v>
      </c>
      <c r="B127" t="s">
        <v>149</v>
      </c>
      <c r="C127" t="s">
        <v>410</v>
      </c>
      <c r="D127" t="s">
        <v>280</v>
      </c>
      <c r="E127" t="s">
        <v>152</v>
      </c>
      <c r="G127">
        <v>0</v>
      </c>
      <c r="H127">
        <v>2</v>
      </c>
      <c r="I127" t="s">
        <v>411</v>
      </c>
      <c r="J127" t="s">
        <v>201</v>
      </c>
    </row>
    <row r="128" spans="1:10" x14ac:dyDescent="0.35">
      <c r="A128">
        <v>51767</v>
      </c>
      <c r="B128" t="s">
        <v>149</v>
      </c>
      <c r="C128" t="s">
        <v>412</v>
      </c>
      <c r="D128" t="s">
        <v>280</v>
      </c>
      <c r="E128" t="s">
        <v>152</v>
      </c>
      <c r="G128">
        <v>0</v>
      </c>
      <c r="H128">
        <v>2</v>
      </c>
      <c r="I128" t="s">
        <v>413</v>
      </c>
      <c r="J128" t="s">
        <v>201</v>
      </c>
    </row>
    <row r="129" spans="1:10" x14ac:dyDescent="0.35">
      <c r="A129">
        <v>51768</v>
      </c>
      <c r="B129" t="s">
        <v>149</v>
      </c>
      <c r="C129" t="s">
        <v>414</v>
      </c>
      <c r="D129" t="s">
        <v>280</v>
      </c>
      <c r="E129" t="s">
        <v>152</v>
      </c>
      <c r="G129">
        <v>1</v>
      </c>
      <c r="H129">
        <v>2</v>
      </c>
      <c r="I129" t="s">
        <v>415</v>
      </c>
      <c r="J129" t="s">
        <v>201</v>
      </c>
    </row>
    <row r="130" spans="1:10" x14ac:dyDescent="0.35">
      <c r="A130">
        <v>51769</v>
      </c>
      <c r="B130" t="s">
        <v>149</v>
      </c>
      <c r="C130" t="s">
        <v>416</v>
      </c>
      <c r="D130" t="s">
        <v>280</v>
      </c>
      <c r="E130" t="s">
        <v>152</v>
      </c>
      <c r="G130">
        <v>1</v>
      </c>
      <c r="H130">
        <v>2</v>
      </c>
      <c r="I130" t="s">
        <v>417</v>
      </c>
      <c r="J130" t="s">
        <v>201</v>
      </c>
    </row>
    <row r="131" spans="1:10" x14ac:dyDescent="0.35">
      <c r="A131">
        <v>51770</v>
      </c>
      <c r="B131" t="s">
        <v>149</v>
      </c>
      <c r="C131" t="s">
        <v>418</v>
      </c>
      <c r="D131" t="s">
        <v>280</v>
      </c>
      <c r="E131" t="s">
        <v>152</v>
      </c>
      <c r="G131">
        <v>1</v>
      </c>
      <c r="H131">
        <v>2</v>
      </c>
      <c r="I131" t="s">
        <v>419</v>
      </c>
      <c r="J131" t="s">
        <v>201</v>
      </c>
    </row>
    <row r="132" spans="1:10" x14ac:dyDescent="0.35">
      <c r="A132">
        <v>51771</v>
      </c>
      <c r="B132" t="s">
        <v>149</v>
      </c>
      <c r="C132" t="s">
        <v>420</v>
      </c>
      <c r="D132" t="s">
        <v>280</v>
      </c>
      <c r="E132" t="s">
        <v>152</v>
      </c>
      <c r="G132">
        <v>1</v>
      </c>
      <c r="H132">
        <v>2</v>
      </c>
      <c r="I132" t="s">
        <v>421</v>
      </c>
      <c r="J132" t="s">
        <v>201</v>
      </c>
    </row>
    <row r="133" spans="1:10" x14ac:dyDescent="0.35">
      <c r="A133">
        <v>51772</v>
      </c>
      <c r="B133" t="s">
        <v>149</v>
      </c>
      <c r="C133" t="s">
        <v>422</v>
      </c>
      <c r="D133" t="s">
        <v>280</v>
      </c>
      <c r="E133" t="s">
        <v>152</v>
      </c>
      <c r="G133">
        <v>0</v>
      </c>
      <c r="H133">
        <v>4</v>
      </c>
      <c r="I133" t="s">
        <v>423</v>
      </c>
      <c r="J133" t="s">
        <v>201</v>
      </c>
    </row>
    <row r="134" spans="1:10" x14ac:dyDescent="0.35">
      <c r="A134">
        <v>51773</v>
      </c>
      <c r="B134" t="s">
        <v>149</v>
      </c>
      <c r="C134" t="s">
        <v>424</v>
      </c>
      <c r="D134" t="s">
        <v>280</v>
      </c>
      <c r="E134" t="s">
        <v>152</v>
      </c>
      <c r="G134">
        <v>0</v>
      </c>
      <c r="H134">
        <v>2</v>
      </c>
      <c r="I134" t="s">
        <v>425</v>
      </c>
      <c r="J134" t="s">
        <v>201</v>
      </c>
    </row>
    <row r="135" spans="1:10" x14ac:dyDescent="0.35">
      <c r="A135">
        <v>51774</v>
      </c>
      <c r="B135" t="s">
        <v>149</v>
      </c>
      <c r="C135" t="s">
        <v>426</v>
      </c>
      <c r="D135" t="s">
        <v>280</v>
      </c>
      <c r="E135" t="s">
        <v>152</v>
      </c>
      <c r="G135">
        <v>1</v>
      </c>
      <c r="H135">
        <v>2</v>
      </c>
      <c r="I135" t="s">
        <v>427</v>
      </c>
      <c r="J135" t="s">
        <v>201</v>
      </c>
    </row>
    <row r="136" spans="1:10" x14ac:dyDescent="0.35">
      <c r="A136">
        <v>51775</v>
      </c>
      <c r="B136" t="s">
        <v>149</v>
      </c>
      <c r="C136" t="s">
        <v>428</v>
      </c>
      <c r="D136" t="s">
        <v>429</v>
      </c>
      <c r="E136" t="s">
        <v>152</v>
      </c>
      <c r="G136">
        <v>0</v>
      </c>
      <c r="H136">
        <v>2</v>
      </c>
      <c r="I136" t="s">
        <v>430</v>
      </c>
      <c r="J136" t="s">
        <v>431</v>
      </c>
    </row>
    <row r="137" spans="1:10" x14ac:dyDescent="0.35">
      <c r="A137">
        <v>51776</v>
      </c>
      <c r="B137" t="s">
        <v>149</v>
      </c>
      <c r="C137" t="s">
        <v>432</v>
      </c>
      <c r="D137" t="s">
        <v>280</v>
      </c>
      <c r="E137" t="s">
        <v>152</v>
      </c>
      <c r="G137">
        <v>0</v>
      </c>
      <c r="H137">
        <v>2</v>
      </c>
      <c r="I137" t="s">
        <v>433</v>
      </c>
      <c r="J137" t="s">
        <v>431</v>
      </c>
    </row>
    <row r="138" spans="1:10" x14ac:dyDescent="0.35">
      <c r="A138">
        <v>51777</v>
      </c>
      <c r="B138" t="s">
        <v>149</v>
      </c>
      <c r="C138" t="s">
        <v>434</v>
      </c>
      <c r="D138" t="s">
        <v>429</v>
      </c>
      <c r="E138" t="s">
        <v>152</v>
      </c>
      <c r="G138">
        <v>0</v>
      </c>
      <c r="H138">
        <v>6</v>
      </c>
      <c r="I138" t="s">
        <v>435</v>
      </c>
      <c r="J138" t="s">
        <v>431</v>
      </c>
    </row>
    <row r="139" spans="1:10" x14ac:dyDescent="0.35">
      <c r="A139">
        <v>51778</v>
      </c>
      <c r="B139" t="s">
        <v>149</v>
      </c>
      <c r="C139" t="s">
        <v>436</v>
      </c>
      <c r="D139" t="s">
        <v>429</v>
      </c>
      <c r="E139" t="s">
        <v>152</v>
      </c>
      <c r="G139">
        <v>0</v>
      </c>
      <c r="H139">
        <v>2</v>
      </c>
      <c r="I139" t="s">
        <v>437</v>
      </c>
      <c r="J139" t="s">
        <v>431</v>
      </c>
    </row>
    <row r="140" spans="1:10" x14ac:dyDescent="0.35">
      <c r="A140">
        <v>51779</v>
      </c>
      <c r="B140" t="s">
        <v>149</v>
      </c>
      <c r="C140" t="s">
        <v>438</v>
      </c>
      <c r="D140" t="s">
        <v>280</v>
      </c>
      <c r="E140" t="s">
        <v>152</v>
      </c>
      <c r="G140">
        <v>1</v>
      </c>
      <c r="H140">
        <v>2</v>
      </c>
      <c r="I140" t="s">
        <v>439</v>
      </c>
      <c r="J140" t="s">
        <v>431</v>
      </c>
    </row>
    <row r="141" spans="1:10" x14ac:dyDescent="0.35">
      <c r="A141">
        <v>51780</v>
      </c>
      <c r="B141" t="s">
        <v>149</v>
      </c>
      <c r="C141" t="s">
        <v>440</v>
      </c>
      <c r="D141" t="s">
        <v>280</v>
      </c>
      <c r="E141" t="s">
        <v>152</v>
      </c>
      <c r="G141">
        <v>0</v>
      </c>
      <c r="H141">
        <v>2</v>
      </c>
      <c r="I141" t="s">
        <v>441</v>
      </c>
      <c r="J141" t="s">
        <v>431</v>
      </c>
    </row>
    <row r="142" spans="1:10" x14ac:dyDescent="0.35">
      <c r="A142">
        <v>51781</v>
      </c>
      <c r="B142" t="s">
        <v>149</v>
      </c>
      <c r="C142" t="s">
        <v>442</v>
      </c>
      <c r="D142" t="s">
        <v>280</v>
      </c>
      <c r="E142" t="s">
        <v>152</v>
      </c>
      <c r="G142">
        <v>0</v>
      </c>
      <c r="H142">
        <v>2</v>
      </c>
      <c r="I142" t="s">
        <v>443</v>
      </c>
      <c r="J142" t="s">
        <v>431</v>
      </c>
    </row>
    <row r="143" spans="1:10" x14ac:dyDescent="0.35">
      <c r="A143">
        <v>51782</v>
      </c>
      <c r="B143" t="s">
        <v>149</v>
      </c>
      <c r="C143" t="s">
        <v>444</v>
      </c>
      <c r="D143" t="s">
        <v>280</v>
      </c>
      <c r="E143" t="s">
        <v>152</v>
      </c>
      <c r="G143">
        <v>0</v>
      </c>
      <c r="H143">
        <v>2</v>
      </c>
      <c r="I143" t="s">
        <v>445</v>
      </c>
      <c r="J143" t="s">
        <v>431</v>
      </c>
    </row>
    <row r="144" spans="1:10" x14ac:dyDescent="0.35">
      <c r="A144">
        <v>51783</v>
      </c>
      <c r="B144" t="s">
        <v>149</v>
      </c>
      <c r="C144" t="s">
        <v>446</v>
      </c>
      <c r="D144" t="s">
        <v>280</v>
      </c>
      <c r="E144" t="s">
        <v>152</v>
      </c>
      <c r="G144">
        <v>0</v>
      </c>
      <c r="H144">
        <v>1</v>
      </c>
      <c r="I144" t="s">
        <v>447</v>
      </c>
      <c r="J144" t="s">
        <v>431</v>
      </c>
    </row>
    <row r="145" spans="1:10" x14ac:dyDescent="0.35">
      <c r="A145">
        <v>51784</v>
      </c>
      <c r="B145" t="s">
        <v>149</v>
      </c>
      <c r="C145" t="s">
        <v>448</v>
      </c>
      <c r="D145" t="s">
        <v>429</v>
      </c>
      <c r="E145" t="s">
        <v>152</v>
      </c>
      <c r="G145">
        <v>0</v>
      </c>
      <c r="H145">
        <v>1</v>
      </c>
      <c r="I145" t="s">
        <v>449</v>
      </c>
      <c r="J145" t="s">
        <v>431</v>
      </c>
    </row>
    <row r="146" spans="1:10" x14ac:dyDescent="0.35">
      <c r="A146">
        <v>51785</v>
      </c>
      <c r="B146" t="s">
        <v>149</v>
      </c>
      <c r="C146" t="s">
        <v>450</v>
      </c>
      <c r="D146" t="s">
        <v>429</v>
      </c>
      <c r="E146" t="s">
        <v>152</v>
      </c>
      <c r="G146">
        <v>0</v>
      </c>
      <c r="H146">
        <v>1</v>
      </c>
      <c r="I146" t="s">
        <v>451</v>
      </c>
      <c r="J146" t="s">
        <v>431</v>
      </c>
    </row>
    <row r="147" spans="1:10" x14ac:dyDescent="0.35">
      <c r="A147">
        <v>51786</v>
      </c>
      <c r="B147" t="s">
        <v>149</v>
      </c>
      <c r="C147" t="s">
        <v>452</v>
      </c>
      <c r="D147" t="s">
        <v>429</v>
      </c>
      <c r="E147" t="s">
        <v>152</v>
      </c>
      <c r="G147">
        <v>0</v>
      </c>
      <c r="H147">
        <v>1</v>
      </c>
      <c r="I147" t="s">
        <v>453</v>
      </c>
      <c r="J147" t="s">
        <v>431</v>
      </c>
    </row>
    <row r="148" spans="1:10" x14ac:dyDescent="0.35">
      <c r="A148">
        <v>51787</v>
      </c>
      <c r="B148" t="s">
        <v>149</v>
      </c>
      <c r="C148" t="s">
        <v>454</v>
      </c>
      <c r="D148" t="s">
        <v>429</v>
      </c>
      <c r="E148" t="s">
        <v>152</v>
      </c>
      <c r="G148">
        <v>0</v>
      </c>
      <c r="H148">
        <v>1</v>
      </c>
      <c r="I148" t="s">
        <v>455</v>
      </c>
      <c r="J148" t="s">
        <v>431</v>
      </c>
    </row>
    <row r="149" spans="1:10" x14ac:dyDescent="0.35">
      <c r="A149">
        <v>51788</v>
      </c>
      <c r="B149" t="s">
        <v>149</v>
      </c>
      <c r="C149" t="s">
        <v>456</v>
      </c>
      <c r="D149" t="s">
        <v>429</v>
      </c>
      <c r="E149" t="s">
        <v>152</v>
      </c>
      <c r="G149">
        <v>0</v>
      </c>
      <c r="H149">
        <v>1</v>
      </c>
      <c r="I149" t="s">
        <v>457</v>
      </c>
      <c r="J149" t="s">
        <v>431</v>
      </c>
    </row>
    <row r="150" spans="1:10" x14ac:dyDescent="0.35">
      <c r="A150">
        <v>51789</v>
      </c>
      <c r="B150" t="s">
        <v>149</v>
      </c>
      <c r="C150" t="s">
        <v>458</v>
      </c>
      <c r="D150" t="s">
        <v>429</v>
      </c>
      <c r="E150" t="s">
        <v>152</v>
      </c>
      <c r="G150">
        <v>0</v>
      </c>
      <c r="H150">
        <v>1</v>
      </c>
      <c r="I150" t="s">
        <v>459</v>
      </c>
      <c r="J150" t="s">
        <v>431</v>
      </c>
    </row>
    <row r="151" spans="1:10" x14ac:dyDescent="0.35">
      <c r="A151">
        <v>51790</v>
      </c>
      <c r="B151" t="s">
        <v>149</v>
      </c>
      <c r="C151" t="s">
        <v>460</v>
      </c>
      <c r="D151" t="s">
        <v>429</v>
      </c>
      <c r="E151" t="s">
        <v>152</v>
      </c>
      <c r="G151">
        <v>0</v>
      </c>
      <c r="H151">
        <v>1</v>
      </c>
      <c r="I151" t="s">
        <v>461</v>
      </c>
      <c r="J151" t="s">
        <v>431</v>
      </c>
    </row>
    <row r="152" spans="1:10" x14ac:dyDescent="0.35">
      <c r="A152">
        <v>51791</v>
      </c>
      <c r="B152" t="s">
        <v>149</v>
      </c>
      <c r="C152" t="s">
        <v>462</v>
      </c>
      <c r="D152" t="s">
        <v>429</v>
      </c>
      <c r="E152" t="s">
        <v>152</v>
      </c>
      <c r="G152">
        <v>0</v>
      </c>
      <c r="H152">
        <v>2</v>
      </c>
      <c r="I152" t="s">
        <v>463</v>
      </c>
      <c r="J152" t="s">
        <v>431</v>
      </c>
    </row>
    <row r="153" spans="1:10" x14ac:dyDescent="0.35">
      <c r="A153">
        <v>51792</v>
      </c>
      <c r="B153" t="s">
        <v>149</v>
      </c>
      <c r="C153" t="s">
        <v>464</v>
      </c>
      <c r="D153" t="s">
        <v>429</v>
      </c>
      <c r="E153" t="s">
        <v>152</v>
      </c>
      <c r="G153">
        <v>0</v>
      </c>
      <c r="H153">
        <v>2</v>
      </c>
      <c r="I153" t="s">
        <v>465</v>
      </c>
      <c r="J153" t="s">
        <v>431</v>
      </c>
    </row>
    <row r="154" spans="1:10" x14ac:dyDescent="0.35">
      <c r="A154">
        <v>51796</v>
      </c>
      <c r="B154" t="s">
        <v>149</v>
      </c>
      <c r="C154" t="s">
        <v>466</v>
      </c>
      <c r="D154" t="s">
        <v>429</v>
      </c>
      <c r="E154" t="s">
        <v>152</v>
      </c>
      <c r="G154">
        <v>0</v>
      </c>
      <c r="H154">
        <v>2</v>
      </c>
      <c r="I154" t="s">
        <v>467</v>
      </c>
      <c r="J154" t="s">
        <v>431</v>
      </c>
    </row>
    <row r="155" spans="1:10" x14ac:dyDescent="0.35">
      <c r="A155">
        <v>51797</v>
      </c>
      <c r="B155" t="s">
        <v>149</v>
      </c>
      <c r="C155" t="s">
        <v>468</v>
      </c>
      <c r="D155" t="s">
        <v>280</v>
      </c>
      <c r="E155" t="s">
        <v>152</v>
      </c>
      <c r="G155">
        <v>0</v>
      </c>
      <c r="H155">
        <v>2</v>
      </c>
      <c r="I155" t="s">
        <v>469</v>
      </c>
      <c r="J155" t="s">
        <v>431</v>
      </c>
    </row>
    <row r="156" spans="1:10" x14ac:dyDescent="0.35">
      <c r="A156">
        <v>51800</v>
      </c>
      <c r="B156" t="s">
        <v>149</v>
      </c>
      <c r="C156" t="s">
        <v>470</v>
      </c>
      <c r="D156" t="s">
        <v>429</v>
      </c>
      <c r="E156" t="s">
        <v>152</v>
      </c>
      <c r="G156">
        <v>0</v>
      </c>
      <c r="H156">
        <v>5</v>
      </c>
      <c r="I156" t="s">
        <v>471</v>
      </c>
      <c r="J156" t="s">
        <v>190</v>
      </c>
    </row>
    <row r="157" spans="1:10" x14ac:dyDescent="0.35">
      <c r="A157">
        <v>51801</v>
      </c>
      <c r="B157" t="s">
        <v>149</v>
      </c>
      <c r="C157" t="s">
        <v>472</v>
      </c>
      <c r="D157" t="s">
        <v>429</v>
      </c>
      <c r="E157" t="s">
        <v>152</v>
      </c>
      <c r="G157">
        <v>0</v>
      </c>
      <c r="H157">
        <v>5</v>
      </c>
      <c r="I157" t="s">
        <v>473</v>
      </c>
      <c r="J157" t="s">
        <v>190</v>
      </c>
    </row>
    <row r="158" spans="1:10" x14ac:dyDescent="0.35">
      <c r="A158">
        <v>51802</v>
      </c>
      <c r="B158" t="s">
        <v>149</v>
      </c>
      <c r="C158" t="s">
        <v>474</v>
      </c>
      <c r="D158" t="s">
        <v>429</v>
      </c>
      <c r="E158" t="s">
        <v>152</v>
      </c>
      <c r="G158">
        <v>0</v>
      </c>
      <c r="H158">
        <v>5</v>
      </c>
      <c r="I158" t="s">
        <v>475</v>
      </c>
      <c r="J158" t="s">
        <v>190</v>
      </c>
    </row>
    <row r="159" spans="1:10" x14ac:dyDescent="0.35">
      <c r="A159">
        <v>51803</v>
      </c>
      <c r="B159" t="s">
        <v>149</v>
      </c>
      <c r="C159" t="s">
        <v>476</v>
      </c>
      <c r="D159" t="s">
        <v>429</v>
      </c>
      <c r="E159" t="s">
        <v>152</v>
      </c>
      <c r="G159">
        <v>0</v>
      </c>
      <c r="H159">
        <v>4</v>
      </c>
      <c r="I159" t="s">
        <v>477</v>
      </c>
      <c r="J159" t="s">
        <v>190</v>
      </c>
    </row>
    <row r="160" spans="1:10" x14ac:dyDescent="0.35">
      <c r="A160">
        <v>51804</v>
      </c>
      <c r="B160" t="s">
        <v>149</v>
      </c>
      <c r="C160" t="s">
        <v>478</v>
      </c>
      <c r="D160" t="s">
        <v>429</v>
      </c>
      <c r="E160" t="s">
        <v>152</v>
      </c>
      <c r="G160">
        <v>0</v>
      </c>
      <c r="H160">
        <v>5</v>
      </c>
      <c r="I160" t="s">
        <v>479</v>
      </c>
      <c r="J160" t="s">
        <v>190</v>
      </c>
    </row>
    <row r="161" spans="1:10" x14ac:dyDescent="0.35">
      <c r="A161">
        <v>51805</v>
      </c>
      <c r="B161" t="s">
        <v>149</v>
      </c>
      <c r="C161" t="s">
        <v>480</v>
      </c>
      <c r="D161" t="s">
        <v>429</v>
      </c>
      <c r="E161" t="s">
        <v>152</v>
      </c>
      <c r="G161">
        <v>0</v>
      </c>
      <c r="H161">
        <v>5</v>
      </c>
      <c r="I161" t="s">
        <v>481</v>
      </c>
      <c r="J161" t="s">
        <v>190</v>
      </c>
    </row>
    <row r="162" spans="1:10" x14ac:dyDescent="0.35">
      <c r="A162">
        <v>51806</v>
      </c>
      <c r="B162" t="s">
        <v>149</v>
      </c>
      <c r="C162" t="s">
        <v>482</v>
      </c>
      <c r="D162" t="s">
        <v>429</v>
      </c>
      <c r="E162" t="s">
        <v>152</v>
      </c>
      <c r="G162">
        <v>0</v>
      </c>
      <c r="H162">
        <v>5</v>
      </c>
      <c r="I162" t="s">
        <v>483</v>
      </c>
      <c r="J162" t="s">
        <v>190</v>
      </c>
    </row>
    <row r="163" spans="1:10" x14ac:dyDescent="0.35">
      <c r="A163">
        <v>51807</v>
      </c>
      <c r="B163" t="s">
        <v>149</v>
      </c>
      <c r="C163" t="s">
        <v>484</v>
      </c>
      <c r="D163" t="s">
        <v>429</v>
      </c>
      <c r="E163" t="s">
        <v>152</v>
      </c>
      <c r="G163">
        <v>0</v>
      </c>
      <c r="H163">
        <v>4</v>
      </c>
      <c r="I163" t="s">
        <v>485</v>
      </c>
      <c r="J163" t="s">
        <v>190</v>
      </c>
    </row>
    <row r="164" spans="1:10" x14ac:dyDescent="0.35">
      <c r="A164">
        <v>51808</v>
      </c>
      <c r="B164" t="s">
        <v>149</v>
      </c>
      <c r="C164" t="s">
        <v>486</v>
      </c>
      <c r="D164" t="s">
        <v>429</v>
      </c>
      <c r="E164" t="s">
        <v>152</v>
      </c>
      <c r="G164">
        <v>0</v>
      </c>
      <c r="H164">
        <v>6</v>
      </c>
      <c r="I164" t="s">
        <v>487</v>
      </c>
      <c r="J164" t="s">
        <v>190</v>
      </c>
    </row>
    <row r="165" spans="1:10" x14ac:dyDescent="0.35">
      <c r="A165">
        <v>51934</v>
      </c>
      <c r="B165" t="s">
        <v>149</v>
      </c>
      <c r="C165" t="s">
        <v>488</v>
      </c>
      <c r="D165" t="s">
        <v>151</v>
      </c>
      <c r="E165" t="s">
        <v>152</v>
      </c>
      <c r="G165">
        <v>0</v>
      </c>
      <c r="H165">
        <v>4</v>
      </c>
      <c r="I165" t="s">
        <v>489</v>
      </c>
      <c r="J165" t="s">
        <v>490</v>
      </c>
    </row>
    <row r="166" spans="1:10" x14ac:dyDescent="0.35">
      <c r="A166">
        <v>51935</v>
      </c>
      <c r="B166" t="s">
        <v>149</v>
      </c>
      <c r="C166" t="s">
        <v>491</v>
      </c>
      <c r="D166" t="s">
        <v>151</v>
      </c>
      <c r="E166" t="s">
        <v>152</v>
      </c>
      <c r="G166">
        <v>0</v>
      </c>
      <c r="H166">
        <v>4</v>
      </c>
      <c r="I166" t="s">
        <v>492</v>
      </c>
      <c r="J166" t="s">
        <v>490</v>
      </c>
    </row>
    <row r="167" spans="1:10" x14ac:dyDescent="0.35">
      <c r="A167">
        <v>51936</v>
      </c>
      <c r="B167" t="s">
        <v>149</v>
      </c>
      <c r="C167" t="s">
        <v>493</v>
      </c>
      <c r="D167" t="s">
        <v>151</v>
      </c>
      <c r="E167" t="s">
        <v>152</v>
      </c>
      <c r="G167">
        <v>0</v>
      </c>
      <c r="H167">
        <v>4</v>
      </c>
      <c r="I167" t="s">
        <v>494</v>
      </c>
      <c r="J167" t="s">
        <v>490</v>
      </c>
    </row>
    <row r="168" spans="1:10" x14ac:dyDescent="0.35">
      <c r="A168">
        <v>51981</v>
      </c>
      <c r="B168" t="s">
        <v>149</v>
      </c>
      <c r="C168" t="s">
        <v>495</v>
      </c>
      <c r="D168" t="s">
        <v>181</v>
      </c>
      <c r="E168" t="s">
        <v>152</v>
      </c>
      <c r="G168">
        <v>0</v>
      </c>
      <c r="H168">
        <v>2</v>
      </c>
      <c r="I168" t="s">
        <v>496</v>
      </c>
      <c r="J168" t="s">
        <v>201</v>
      </c>
    </row>
    <row r="169" spans="1:10" x14ac:dyDescent="0.35">
      <c r="A169">
        <v>51982</v>
      </c>
      <c r="B169" t="s">
        <v>149</v>
      </c>
      <c r="C169" t="s">
        <v>497</v>
      </c>
      <c r="D169" t="s">
        <v>181</v>
      </c>
      <c r="E169" t="s">
        <v>152</v>
      </c>
      <c r="G169">
        <v>0</v>
      </c>
      <c r="H169">
        <v>6</v>
      </c>
      <c r="I169" t="s">
        <v>498</v>
      </c>
      <c r="J169" t="s">
        <v>201</v>
      </c>
    </row>
    <row r="170" spans="1:10" x14ac:dyDescent="0.35">
      <c r="A170">
        <v>51983</v>
      </c>
      <c r="B170" t="s">
        <v>149</v>
      </c>
      <c r="C170" t="s">
        <v>499</v>
      </c>
      <c r="D170" t="s">
        <v>181</v>
      </c>
      <c r="E170" t="s">
        <v>152</v>
      </c>
      <c r="G170">
        <v>0</v>
      </c>
      <c r="H170">
        <v>2</v>
      </c>
      <c r="I170" t="s">
        <v>500</v>
      </c>
      <c r="J170" t="s">
        <v>201</v>
      </c>
    </row>
    <row r="171" spans="1:10" x14ac:dyDescent="0.35">
      <c r="A171">
        <v>51991</v>
      </c>
      <c r="B171" t="s">
        <v>149</v>
      </c>
      <c r="C171" t="s">
        <v>501</v>
      </c>
      <c r="D171" t="s">
        <v>181</v>
      </c>
      <c r="E171" t="s">
        <v>152</v>
      </c>
      <c r="G171">
        <v>0</v>
      </c>
      <c r="H171">
        <v>3</v>
      </c>
      <c r="I171" t="s">
        <v>502</v>
      </c>
      <c r="J171" t="s">
        <v>201</v>
      </c>
    </row>
    <row r="172" spans="1:10" x14ac:dyDescent="0.35">
      <c r="A172">
        <v>51992</v>
      </c>
      <c r="B172" t="s">
        <v>149</v>
      </c>
      <c r="C172" t="s">
        <v>503</v>
      </c>
      <c r="D172" t="s">
        <v>181</v>
      </c>
      <c r="E172" t="s">
        <v>152</v>
      </c>
      <c r="G172">
        <v>0</v>
      </c>
      <c r="H172">
        <v>2</v>
      </c>
      <c r="I172" t="s">
        <v>504</v>
      </c>
      <c r="J172" t="s">
        <v>201</v>
      </c>
    </row>
    <row r="173" spans="1:10" x14ac:dyDescent="0.35">
      <c r="A173">
        <v>51993</v>
      </c>
      <c r="B173" t="s">
        <v>149</v>
      </c>
      <c r="C173" t="s">
        <v>505</v>
      </c>
      <c r="D173" t="s">
        <v>181</v>
      </c>
      <c r="E173" t="s">
        <v>152</v>
      </c>
      <c r="G173">
        <v>0</v>
      </c>
      <c r="H173">
        <v>4</v>
      </c>
      <c r="I173" t="s">
        <v>506</v>
      </c>
      <c r="J173" t="s">
        <v>201</v>
      </c>
    </row>
    <row r="174" spans="1:10" x14ac:dyDescent="0.35">
      <c r="A174">
        <v>51994</v>
      </c>
      <c r="B174" t="s">
        <v>149</v>
      </c>
      <c r="C174" t="s">
        <v>507</v>
      </c>
      <c r="D174" t="s">
        <v>181</v>
      </c>
      <c r="E174" t="s">
        <v>152</v>
      </c>
      <c r="G174">
        <v>0</v>
      </c>
      <c r="H174">
        <v>3</v>
      </c>
      <c r="I174" t="s">
        <v>508</v>
      </c>
      <c r="J174" t="s">
        <v>201</v>
      </c>
    </row>
    <row r="175" spans="1:10" x14ac:dyDescent="0.35">
      <c r="A175">
        <v>51997</v>
      </c>
      <c r="B175" t="s">
        <v>149</v>
      </c>
      <c r="C175" t="s">
        <v>509</v>
      </c>
      <c r="D175" t="s">
        <v>181</v>
      </c>
      <c r="E175" t="s">
        <v>152</v>
      </c>
      <c r="G175">
        <v>0</v>
      </c>
      <c r="H175">
        <v>4</v>
      </c>
      <c r="I175" t="s">
        <v>510</v>
      </c>
      <c r="J175" t="s">
        <v>201</v>
      </c>
    </row>
    <row r="176" spans="1:10" x14ac:dyDescent="0.35">
      <c r="A176">
        <v>51998</v>
      </c>
      <c r="B176" t="s">
        <v>149</v>
      </c>
      <c r="C176" t="s">
        <v>511</v>
      </c>
      <c r="D176" t="s">
        <v>181</v>
      </c>
      <c r="E176" t="s">
        <v>152</v>
      </c>
      <c r="G176">
        <v>0</v>
      </c>
      <c r="H176">
        <v>3</v>
      </c>
      <c r="I176" t="s">
        <v>512</v>
      </c>
      <c r="J176" t="s">
        <v>201</v>
      </c>
    </row>
    <row r="177" spans="1:10" x14ac:dyDescent="0.35">
      <c r="A177">
        <v>51999</v>
      </c>
      <c r="B177" t="s">
        <v>149</v>
      </c>
      <c r="C177" t="s">
        <v>513</v>
      </c>
      <c r="D177" t="s">
        <v>181</v>
      </c>
      <c r="E177" t="s">
        <v>152</v>
      </c>
      <c r="G177">
        <v>0</v>
      </c>
      <c r="H177">
        <v>6</v>
      </c>
      <c r="I177" t="s">
        <v>514</v>
      </c>
      <c r="J177" t="s">
        <v>201</v>
      </c>
    </row>
    <row r="178" spans="1:10" x14ac:dyDescent="0.35">
      <c r="A178">
        <v>52000</v>
      </c>
      <c r="B178" t="s">
        <v>149</v>
      </c>
      <c r="C178" t="s">
        <v>515</v>
      </c>
      <c r="D178" t="s">
        <v>181</v>
      </c>
      <c r="E178" t="s">
        <v>152</v>
      </c>
      <c r="G178">
        <v>0</v>
      </c>
      <c r="H178">
        <v>1</v>
      </c>
      <c r="I178" t="s">
        <v>516</v>
      </c>
      <c r="J178" t="s">
        <v>201</v>
      </c>
    </row>
    <row r="179" spans="1:10" x14ac:dyDescent="0.35">
      <c r="A179">
        <v>52001</v>
      </c>
      <c r="B179" t="s">
        <v>149</v>
      </c>
      <c r="C179" t="s">
        <v>517</v>
      </c>
      <c r="D179" t="s">
        <v>181</v>
      </c>
      <c r="E179" t="s">
        <v>152</v>
      </c>
      <c r="G179">
        <v>0</v>
      </c>
      <c r="H179">
        <v>2</v>
      </c>
      <c r="I179" t="s">
        <v>518</v>
      </c>
      <c r="J179" t="s">
        <v>201</v>
      </c>
    </row>
    <row r="180" spans="1:10" x14ac:dyDescent="0.35">
      <c r="A180">
        <v>52003</v>
      </c>
      <c r="B180" t="s">
        <v>149</v>
      </c>
      <c r="C180" t="s">
        <v>519</v>
      </c>
      <c r="D180" t="s">
        <v>181</v>
      </c>
      <c r="E180" t="s">
        <v>152</v>
      </c>
      <c r="G180">
        <v>0</v>
      </c>
      <c r="H180">
        <v>3</v>
      </c>
      <c r="I180" t="s">
        <v>520</v>
      </c>
      <c r="J180" t="s">
        <v>201</v>
      </c>
    </row>
    <row r="181" spans="1:10" x14ac:dyDescent="0.35">
      <c r="A181">
        <v>52068</v>
      </c>
      <c r="B181" t="s">
        <v>149</v>
      </c>
      <c r="C181" t="s">
        <v>521</v>
      </c>
      <c r="D181" t="s">
        <v>429</v>
      </c>
      <c r="E181" t="s">
        <v>152</v>
      </c>
      <c r="G181">
        <v>0</v>
      </c>
      <c r="H181">
        <v>14</v>
      </c>
      <c r="I181" t="s">
        <v>522</v>
      </c>
      <c r="J181" t="s">
        <v>154</v>
      </c>
    </row>
    <row r="182" spans="1:10" x14ac:dyDescent="0.35">
      <c r="A182">
        <v>52383</v>
      </c>
      <c r="B182" t="s">
        <v>149</v>
      </c>
      <c r="C182" t="s">
        <v>523</v>
      </c>
      <c r="D182" t="s">
        <v>151</v>
      </c>
      <c r="E182" t="s">
        <v>152</v>
      </c>
      <c r="G182">
        <v>0</v>
      </c>
      <c r="H182">
        <v>2</v>
      </c>
      <c r="I182" t="s">
        <v>524</v>
      </c>
      <c r="J182" t="s">
        <v>525</v>
      </c>
    </row>
    <row r="183" spans="1:10" x14ac:dyDescent="0.35">
      <c r="A183">
        <v>52390</v>
      </c>
      <c r="B183" t="s">
        <v>149</v>
      </c>
      <c r="C183" t="s">
        <v>526</v>
      </c>
      <c r="D183" t="s">
        <v>151</v>
      </c>
      <c r="E183" t="s">
        <v>152</v>
      </c>
      <c r="G183">
        <v>0</v>
      </c>
      <c r="H183">
        <v>2</v>
      </c>
      <c r="I183" t="s">
        <v>527</v>
      </c>
      <c r="J183" t="s">
        <v>525</v>
      </c>
    </row>
    <row r="184" spans="1:10" x14ac:dyDescent="0.35">
      <c r="A184">
        <v>52391</v>
      </c>
      <c r="B184" t="s">
        <v>149</v>
      </c>
      <c r="C184" t="s">
        <v>528</v>
      </c>
      <c r="D184" t="s">
        <v>151</v>
      </c>
      <c r="E184" t="s">
        <v>152</v>
      </c>
      <c r="G184">
        <v>0</v>
      </c>
      <c r="H184">
        <v>2</v>
      </c>
      <c r="I184" t="s">
        <v>529</v>
      </c>
      <c r="J184" t="s">
        <v>525</v>
      </c>
    </row>
    <row r="185" spans="1:10" x14ac:dyDescent="0.35">
      <c r="A185">
        <v>52409</v>
      </c>
      <c r="B185" t="s">
        <v>149</v>
      </c>
      <c r="C185" t="s">
        <v>530</v>
      </c>
      <c r="D185" t="s">
        <v>151</v>
      </c>
      <c r="E185" t="s">
        <v>152</v>
      </c>
      <c r="G185">
        <v>0</v>
      </c>
      <c r="H185">
        <v>2</v>
      </c>
      <c r="I185" t="s">
        <v>531</v>
      </c>
      <c r="J185" t="s">
        <v>525</v>
      </c>
    </row>
    <row r="186" spans="1:10" x14ac:dyDescent="0.35">
      <c r="A186">
        <v>52460</v>
      </c>
      <c r="B186" t="s">
        <v>149</v>
      </c>
      <c r="C186" t="s">
        <v>532</v>
      </c>
      <c r="D186" t="s">
        <v>181</v>
      </c>
      <c r="E186" t="s">
        <v>152</v>
      </c>
      <c r="G186">
        <v>0</v>
      </c>
      <c r="H186">
        <v>2</v>
      </c>
      <c r="I186" t="s">
        <v>533</v>
      </c>
      <c r="J186" t="s">
        <v>201</v>
      </c>
    </row>
    <row r="187" spans="1:10" x14ac:dyDescent="0.35">
      <c r="A187">
        <v>52463</v>
      </c>
      <c r="B187" t="s">
        <v>149</v>
      </c>
      <c r="C187" t="s">
        <v>534</v>
      </c>
      <c r="D187" t="s">
        <v>185</v>
      </c>
      <c r="E187" t="s">
        <v>152</v>
      </c>
      <c r="G187">
        <v>0</v>
      </c>
      <c r="H187">
        <v>14</v>
      </c>
      <c r="I187" t="s">
        <v>535</v>
      </c>
      <c r="J187" t="s">
        <v>201</v>
      </c>
    </row>
    <row r="188" spans="1:10" x14ac:dyDescent="0.35">
      <c r="A188">
        <v>52472</v>
      </c>
      <c r="B188" t="s">
        <v>149</v>
      </c>
      <c r="C188" t="s">
        <v>536</v>
      </c>
      <c r="D188" t="s">
        <v>429</v>
      </c>
      <c r="E188" t="s">
        <v>152</v>
      </c>
      <c r="G188">
        <v>0</v>
      </c>
      <c r="H188">
        <v>5</v>
      </c>
      <c r="I188" t="s">
        <v>537</v>
      </c>
      <c r="J188" t="s">
        <v>538</v>
      </c>
    </row>
    <row r="189" spans="1:10" x14ac:dyDescent="0.35">
      <c r="A189">
        <v>52473</v>
      </c>
      <c r="B189" t="s">
        <v>149</v>
      </c>
      <c r="C189" t="s">
        <v>539</v>
      </c>
      <c r="D189" t="s">
        <v>429</v>
      </c>
      <c r="E189" t="s">
        <v>152</v>
      </c>
      <c r="G189">
        <v>0</v>
      </c>
      <c r="H189">
        <v>4</v>
      </c>
      <c r="I189" t="s">
        <v>540</v>
      </c>
      <c r="J189" t="s">
        <v>538</v>
      </c>
    </row>
    <row r="190" spans="1:10" x14ac:dyDescent="0.35">
      <c r="A190">
        <v>52474</v>
      </c>
      <c r="B190" t="s">
        <v>149</v>
      </c>
      <c r="C190" t="s">
        <v>541</v>
      </c>
      <c r="D190" t="s">
        <v>429</v>
      </c>
      <c r="E190" t="s">
        <v>152</v>
      </c>
      <c r="G190">
        <v>0</v>
      </c>
      <c r="H190">
        <v>4</v>
      </c>
      <c r="I190" t="s">
        <v>542</v>
      </c>
      <c r="J190" t="s">
        <v>538</v>
      </c>
    </row>
    <row r="191" spans="1:10" x14ac:dyDescent="0.35">
      <c r="A191">
        <v>52475</v>
      </c>
      <c r="B191" t="s">
        <v>149</v>
      </c>
      <c r="C191" t="s">
        <v>543</v>
      </c>
      <c r="D191" t="s">
        <v>429</v>
      </c>
      <c r="E191" t="s">
        <v>152</v>
      </c>
      <c r="G191">
        <v>0</v>
      </c>
      <c r="H191">
        <v>5</v>
      </c>
      <c r="I191" t="s">
        <v>544</v>
      </c>
      <c r="J191" t="s">
        <v>538</v>
      </c>
    </row>
    <row r="192" spans="1:10" x14ac:dyDescent="0.35">
      <c r="A192">
        <v>52476</v>
      </c>
      <c r="B192" t="s">
        <v>149</v>
      </c>
      <c r="C192" t="s">
        <v>545</v>
      </c>
      <c r="D192" t="s">
        <v>546</v>
      </c>
      <c r="E192" t="s">
        <v>152</v>
      </c>
      <c r="G192">
        <v>0</v>
      </c>
      <c r="H192">
        <v>8</v>
      </c>
      <c r="I192" t="s">
        <v>547</v>
      </c>
      <c r="J192" t="s">
        <v>548</v>
      </c>
    </row>
    <row r="193" spans="1:10" x14ac:dyDescent="0.35">
      <c r="A193">
        <v>52477</v>
      </c>
      <c r="B193" t="s">
        <v>149</v>
      </c>
      <c r="C193" t="s">
        <v>549</v>
      </c>
      <c r="D193" t="s">
        <v>546</v>
      </c>
      <c r="E193" t="s">
        <v>152</v>
      </c>
      <c r="G193">
        <v>0</v>
      </c>
      <c r="H193">
        <v>8</v>
      </c>
      <c r="I193" t="s">
        <v>550</v>
      </c>
      <c r="J193" t="s">
        <v>548</v>
      </c>
    </row>
    <row r="194" spans="1:10" x14ac:dyDescent="0.35">
      <c r="A194">
        <v>52482</v>
      </c>
      <c r="B194" t="s">
        <v>149</v>
      </c>
      <c r="C194" t="s">
        <v>551</v>
      </c>
      <c r="D194" t="s">
        <v>552</v>
      </c>
      <c r="E194" t="s">
        <v>152</v>
      </c>
      <c r="G194">
        <v>0</v>
      </c>
      <c r="H194">
        <v>4</v>
      </c>
      <c r="I194" t="s">
        <v>553</v>
      </c>
      <c r="J194" t="s">
        <v>548</v>
      </c>
    </row>
    <row r="195" spans="1:10" x14ac:dyDescent="0.35">
      <c r="A195">
        <v>52483</v>
      </c>
      <c r="B195" t="s">
        <v>149</v>
      </c>
      <c r="C195" t="s">
        <v>554</v>
      </c>
      <c r="D195" t="s">
        <v>555</v>
      </c>
      <c r="E195" t="s">
        <v>152</v>
      </c>
      <c r="G195">
        <v>0</v>
      </c>
      <c r="H195">
        <v>4</v>
      </c>
      <c r="I195" t="s">
        <v>556</v>
      </c>
      <c r="J195" t="s">
        <v>548</v>
      </c>
    </row>
    <row r="196" spans="1:10" x14ac:dyDescent="0.35">
      <c r="A196">
        <v>52485</v>
      </c>
      <c r="B196" t="s">
        <v>149</v>
      </c>
      <c r="C196" t="s">
        <v>557</v>
      </c>
      <c r="D196" t="s">
        <v>555</v>
      </c>
      <c r="E196" t="s">
        <v>152</v>
      </c>
      <c r="G196">
        <v>0</v>
      </c>
      <c r="H196">
        <v>5</v>
      </c>
      <c r="I196" t="s">
        <v>558</v>
      </c>
      <c r="J196" t="s">
        <v>548</v>
      </c>
    </row>
    <row r="197" spans="1:10" x14ac:dyDescent="0.35">
      <c r="A197">
        <v>52499</v>
      </c>
      <c r="B197" t="s">
        <v>149</v>
      </c>
      <c r="C197" t="s">
        <v>559</v>
      </c>
      <c r="D197" t="s">
        <v>552</v>
      </c>
      <c r="E197" t="s">
        <v>152</v>
      </c>
      <c r="G197">
        <v>0</v>
      </c>
      <c r="H197">
        <v>5</v>
      </c>
      <c r="I197" t="s">
        <v>560</v>
      </c>
      <c r="J197" t="s">
        <v>548</v>
      </c>
    </row>
    <row r="198" spans="1:10" x14ac:dyDescent="0.35">
      <c r="A198">
        <v>52501</v>
      </c>
      <c r="B198" t="s">
        <v>149</v>
      </c>
      <c r="C198" t="s">
        <v>561</v>
      </c>
      <c r="D198" t="s">
        <v>552</v>
      </c>
      <c r="E198" t="s">
        <v>152</v>
      </c>
      <c r="G198">
        <v>0</v>
      </c>
      <c r="H198">
        <v>4</v>
      </c>
      <c r="I198" t="s">
        <v>562</v>
      </c>
      <c r="J198" t="s">
        <v>548</v>
      </c>
    </row>
    <row r="199" spans="1:10" x14ac:dyDescent="0.35">
      <c r="A199">
        <v>52551</v>
      </c>
      <c r="B199" t="s">
        <v>149</v>
      </c>
      <c r="C199" t="s">
        <v>563</v>
      </c>
      <c r="D199" t="s">
        <v>564</v>
      </c>
      <c r="E199" t="s">
        <v>152</v>
      </c>
      <c r="G199">
        <v>0</v>
      </c>
      <c r="H199">
        <v>12</v>
      </c>
      <c r="I199" t="s">
        <v>565</v>
      </c>
      <c r="J199" t="s">
        <v>538</v>
      </c>
    </row>
    <row r="200" spans="1:10" x14ac:dyDescent="0.35">
      <c r="A200">
        <v>52602</v>
      </c>
      <c r="B200" t="s">
        <v>149</v>
      </c>
      <c r="C200" t="s">
        <v>566</v>
      </c>
      <c r="D200" t="s">
        <v>552</v>
      </c>
      <c r="E200" t="s">
        <v>152</v>
      </c>
      <c r="G200">
        <v>0</v>
      </c>
      <c r="H200">
        <v>2</v>
      </c>
      <c r="I200" t="s">
        <v>567</v>
      </c>
      <c r="J200" t="s">
        <v>154</v>
      </c>
    </row>
    <row r="201" spans="1:10" x14ac:dyDescent="0.35">
      <c r="A201">
        <v>52612</v>
      </c>
      <c r="B201" t="s">
        <v>149</v>
      </c>
      <c r="C201" t="s">
        <v>568</v>
      </c>
      <c r="D201" t="s">
        <v>552</v>
      </c>
      <c r="E201" t="s">
        <v>152</v>
      </c>
      <c r="G201">
        <v>0</v>
      </c>
      <c r="H201">
        <v>2</v>
      </c>
      <c r="I201" t="s">
        <v>569</v>
      </c>
      <c r="J201" t="s">
        <v>154</v>
      </c>
    </row>
    <row r="202" spans="1:10" x14ac:dyDescent="0.35">
      <c r="A202">
        <v>52620</v>
      </c>
      <c r="B202" t="s">
        <v>149</v>
      </c>
      <c r="C202" t="s">
        <v>570</v>
      </c>
      <c r="D202" t="s">
        <v>293</v>
      </c>
      <c r="E202" t="s">
        <v>152</v>
      </c>
      <c r="G202">
        <v>0</v>
      </c>
      <c r="H202">
        <v>6</v>
      </c>
      <c r="I202" t="s">
        <v>571</v>
      </c>
      <c r="J202" t="s">
        <v>154</v>
      </c>
    </row>
    <row r="203" spans="1:10" x14ac:dyDescent="0.35">
      <c r="A203">
        <v>52621</v>
      </c>
      <c r="B203" t="s">
        <v>149</v>
      </c>
      <c r="C203" t="s">
        <v>572</v>
      </c>
      <c r="D203" t="s">
        <v>293</v>
      </c>
      <c r="E203" t="s">
        <v>152</v>
      </c>
      <c r="G203">
        <v>1</v>
      </c>
      <c r="H203">
        <v>6</v>
      </c>
      <c r="I203" t="s">
        <v>294</v>
      </c>
      <c r="J203" t="s">
        <v>154</v>
      </c>
    </row>
    <row r="204" spans="1:10" x14ac:dyDescent="0.35">
      <c r="A204">
        <v>52628</v>
      </c>
      <c r="B204" t="s">
        <v>149</v>
      </c>
      <c r="C204" t="s">
        <v>573</v>
      </c>
      <c r="D204" t="s">
        <v>564</v>
      </c>
      <c r="E204" t="s">
        <v>152</v>
      </c>
      <c r="G204">
        <v>1</v>
      </c>
      <c r="H204">
        <v>12</v>
      </c>
      <c r="I204" t="s">
        <v>574</v>
      </c>
      <c r="J204" t="s">
        <v>538</v>
      </c>
    </row>
    <row r="205" spans="1:10" x14ac:dyDescent="0.35">
      <c r="A205">
        <v>52678</v>
      </c>
      <c r="B205" t="s">
        <v>149</v>
      </c>
      <c r="C205" t="s">
        <v>575</v>
      </c>
      <c r="D205" t="s">
        <v>546</v>
      </c>
      <c r="E205" t="s">
        <v>152</v>
      </c>
      <c r="G205">
        <v>0</v>
      </c>
      <c r="H205">
        <v>6</v>
      </c>
      <c r="I205" t="s">
        <v>576</v>
      </c>
      <c r="J205" t="s">
        <v>490</v>
      </c>
    </row>
    <row r="206" spans="1:10" x14ac:dyDescent="0.35">
      <c r="A206">
        <v>52699</v>
      </c>
      <c r="B206" t="s">
        <v>149</v>
      </c>
      <c r="C206" t="s">
        <v>577</v>
      </c>
      <c r="D206" t="s">
        <v>552</v>
      </c>
      <c r="E206" t="s">
        <v>152</v>
      </c>
      <c r="G206">
        <v>0</v>
      </c>
      <c r="H206">
        <v>3</v>
      </c>
      <c r="I206" t="s">
        <v>578</v>
      </c>
      <c r="J206" t="s">
        <v>490</v>
      </c>
    </row>
    <row r="207" spans="1:10" x14ac:dyDescent="0.35">
      <c r="A207">
        <v>52722</v>
      </c>
      <c r="B207" t="s">
        <v>149</v>
      </c>
      <c r="C207" t="s">
        <v>579</v>
      </c>
      <c r="D207" t="s">
        <v>176</v>
      </c>
      <c r="E207" t="s">
        <v>152</v>
      </c>
      <c r="G207">
        <v>0</v>
      </c>
      <c r="H207">
        <v>8</v>
      </c>
      <c r="I207" t="s">
        <v>580</v>
      </c>
      <c r="J207" t="s">
        <v>154</v>
      </c>
    </row>
    <row r="208" spans="1:10" x14ac:dyDescent="0.35">
      <c r="A208">
        <v>52723</v>
      </c>
      <c r="B208" t="s">
        <v>149</v>
      </c>
      <c r="C208" t="s">
        <v>581</v>
      </c>
      <c r="D208" t="s">
        <v>176</v>
      </c>
      <c r="E208" t="s">
        <v>152</v>
      </c>
      <c r="G208">
        <v>0</v>
      </c>
      <c r="H208">
        <v>8</v>
      </c>
      <c r="I208" t="s">
        <v>582</v>
      </c>
      <c r="J208" t="s">
        <v>154</v>
      </c>
    </row>
    <row r="209" spans="1:10" x14ac:dyDescent="0.35">
      <c r="A209">
        <v>52724</v>
      </c>
      <c r="B209" t="s">
        <v>149</v>
      </c>
      <c r="C209" t="s">
        <v>583</v>
      </c>
      <c r="D209" t="s">
        <v>176</v>
      </c>
      <c r="E209" t="s">
        <v>152</v>
      </c>
      <c r="G209">
        <v>0</v>
      </c>
      <c r="H209">
        <v>8</v>
      </c>
      <c r="I209" t="s">
        <v>584</v>
      </c>
      <c r="J209" t="s">
        <v>154</v>
      </c>
    </row>
    <row r="210" spans="1:10" x14ac:dyDescent="0.35">
      <c r="A210">
        <v>52998</v>
      </c>
      <c r="B210" t="s">
        <v>149</v>
      </c>
      <c r="C210" t="s">
        <v>585</v>
      </c>
      <c r="D210" t="s">
        <v>151</v>
      </c>
      <c r="E210" t="s">
        <v>152</v>
      </c>
      <c r="G210">
        <v>0</v>
      </c>
      <c r="H210">
        <v>6</v>
      </c>
      <c r="I210" t="s">
        <v>586</v>
      </c>
      <c r="J210" t="s">
        <v>525</v>
      </c>
    </row>
    <row r="211" spans="1:10" x14ac:dyDescent="0.35">
      <c r="A211">
        <v>52999</v>
      </c>
      <c r="B211" t="s">
        <v>149</v>
      </c>
      <c r="C211" t="s">
        <v>587</v>
      </c>
      <c r="D211" t="s">
        <v>151</v>
      </c>
      <c r="E211" t="s">
        <v>152</v>
      </c>
      <c r="G211">
        <v>0</v>
      </c>
      <c r="H211">
        <v>6</v>
      </c>
      <c r="I211" t="s">
        <v>588</v>
      </c>
      <c r="J211" t="s">
        <v>525</v>
      </c>
    </row>
    <row r="212" spans="1:10" x14ac:dyDescent="0.35">
      <c r="A212">
        <v>53000</v>
      </c>
      <c r="B212" t="s">
        <v>149</v>
      </c>
      <c r="C212" t="s">
        <v>589</v>
      </c>
      <c r="D212" t="s">
        <v>151</v>
      </c>
      <c r="E212" t="s">
        <v>152</v>
      </c>
      <c r="G212">
        <v>0</v>
      </c>
      <c r="H212">
        <v>4</v>
      </c>
      <c r="I212" t="s">
        <v>590</v>
      </c>
      <c r="J212" t="s">
        <v>525</v>
      </c>
    </row>
    <row r="213" spans="1:10" x14ac:dyDescent="0.35">
      <c r="A213">
        <v>53001</v>
      </c>
      <c r="B213" t="s">
        <v>149</v>
      </c>
      <c r="C213" t="s">
        <v>591</v>
      </c>
      <c r="D213" t="s">
        <v>151</v>
      </c>
      <c r="E213" t="s">
        <v>152</v>
      </c>
      <c r="G213">
        <v>0</v>
      </c>
      <c r="H213">
        <v>4</v>
      </c>
      <c r="I213" t="s">
        <v>592</v>
      </c>
      <c r="J213" t="s">
        <v>525</v>
      </c>
    </row>
    <row r="214" spans="1:10" x14ac:dyDescent="0.35">
      <c r="A214">
        <v>53190</v>
      </c>
      <c r="B214" t="s">
        <v>149</v>
      </c>
      <c r="C214" t="s">
        <v>593</v>
      </c>
      <c r="D214" t="s">
        <v>181</v>
      </c>
      <c r="E214" t="s">
        <v>152</v>
      </c>
      <c r="G214">
        <v>0</v>
      </c>
      <c r="H214">
        <v>4</v>
      </c>
      <c r="I214" t="s">
        <v>594</v>
      </c>
      <c r="J214" t="s">
        <v>431</v>
      </c>
    </row>
    <row r="215" spans="1:10" x14ac:dyDescent="0.35">
      <c r="A215">
        <v>53268</v>
      </c>
      <c r="B215" t="s">
        <v>149</v>
      </c>
      <c r="C215" t="s">
        <v>595</v>
      </c>
      <c r="D215" t="s">
        <v>185</v>
      </c>
      <c r="E215" t="s">
        <v>152</v>
      </c>
      <c r="G215">
        <v>0</v>
      </c>
      <c r="H215">
        <v>3</v>
      </c>
      <c r="I215" t="s">
        <v>596</v>
      </c>
      <c r="J215" t="s">
        <v>431</v>
      </c>
    </row>
    <row r="216" spans="1:10" x14ac:dyDescent="0.35">
      <c r="A216">
        <v>53273</v>
      </c>
      <c r="B216" t="s">
        <v>149</v>
      </c>
      <c r="C216" t="s">
        <v>597</v>
      </c>
      <c r="D216" t="s">
        <v>185</v>
      </c>
      <c r="E216" t="s">
        <v>152</v>
      </c>
      <c r="G216">
        <v>1</v>
      </c>
      <c r="H216">
        <v>3</v>
      </c>
      <c r="I216" t="s">
        <v>598</v>
      </c>
      <c r="J216" t="s">
        <v>431</v>
      </c>
    </row>
    <row r="217" spans="1:10" x14ac:dyDescent="0.35">
      <c r="A217">
        <v>53274</v>
      </c>
      <c r="B217" t="s">
        <v>149</v>
      </c>
      <c r="C217" t="s">
        <v>599</v>
      </c>
      <c r="D217" t="s">
        <v>185</v>
      </c>
      <c r="E217" t="s">
        <v>152</v>
      </c>
      <c r="G217">
        <v>1</v>
      </c>
      <c r="H217">
        <v>6</v>
      </c>
      <c r="I217" t="s">
        <v>600</v>
      </c>
      <c r="J217" t="s">
        <v>431</v>
      </c>
    </row>
    <row r="218" spans="1:10" x14ac:dyDescent="0.35">
      <c r="A218">
        <v>53275</v>
      </c>
      <c r="B218" t="s">
        <v>149</v>
      </c>
      <c r="C218" t="s">
        <v>601</v>
      </c>
      <c r="D218" t="s">
        <v>185</v>
      </c>
      <c r="E218" t="s">
        <v>152</v>
      </c>
      <c r="G218">
        <v>0</v>
      </c>
      <c r="H218">
        <v>4</v>
      </c>
      <c r="I218" t="s">
        <v>602</v>
      </c>
      <c r="J218" t="s">
        <v>431</v>
      </c>
    </row>
    <row r="219" spans="1:10" x14ac:dyDescent="0.35">
      <c r="A219">
        <v>53276</v>
      </c>
      <c r="B219" t="s">
        <v>149</v>
      </c>
      <c r="C219" t="s">
        <v>603</v>
      </c>
      <c r="D219" t="s">
        <v>185</v>
      </c>
      <c r="E219" t="s">
        <v>152</v>
      </c>
      <c r="G219">
        <v>1</v>
      </c>
      <c r="H219">
        <v>4</v>
      </c>
      <c r="I219" t="s">
        <v>604</v>
      </c>
      <c r="J219" t="s">
        <v>431</v>
      </c>
    </row>
    <row r="220" spans="1:10" x14ac:dyDescent="0.35">
      <c r="A220">
        <v>53277</v>
      </c>
      <c r="B220" t="s">
        <v>149</v>
      </c>
      <c r="C220" t="s">
        <v>605</v>
      </c>
      <c r="D220" t="s">
        <v>185</v>
      </c>
      <c r="E220" t="s">
        <v>152</v>
      </c>
      <c r="G220">
        <v>0</v>
      </c>
      <c r="H220">
        <v>4</v>
      </c>
      <c r="I220" t="s">
        <v>606</v>
      </c>
      <c r="J220" t="s">
        <v>431</v>
      </c>
    </row>
    <row r="221" spans="1:10" x14ac:dyDescent="0.35">
      <c r="A221">
        <v>53278</v>
      </c>
      <c r="B221" t="s">
        <v>149</v>
      </c>
      <c r="C221" t="s">
        <v>607</v>
      </c>
      <c r="D221" t="s">
        <v>185</v>
      </c>
      <c r="E221" t="s">
        <v>152</v>
      </c>
      <c r="G221">
        <v>1</v>
      </c>
      <c r="H221">
        <v>4</v>
      </c>
      <c r="I221" t="s">
        <v>608</v>
      </c>
      <c r="J221" t="s">
        <v>431</v>
      </c>
    </row>
    <row r="222" spans="1:10" x14ac:dyDescent="0.35">
      <c r="A222">
        <v>53320</v>
      </c>
      <c r="B222" t="s">
        <v>149</v>
      </c>
      <c r="C222" t="s">
        <v>609</v>
      </c>
      <c r="D222" t="s">
        <v>610</v>
      </c>
      <c r="E222" t="s">
        <v>152</v>
      </c>
      <c r="G222">
        <v>0</v>
      </c>
      <c r="H222">
        <v>22</v>
      </c>
      <c r="I222" t="s">
        <v>611</v>
      </c>
      <c r="J222" t="s">
        <v>612</v>
      </c>
    </row>
    <row r="223" spans="1:10" x14ac:dyDescent="0.35">
      <c r="A223">
        <v>53321</v>
      </c>
      <c r="B223" t="s">
        <v>149</v>
      </c>
      <c r="C223" t="s">
        <v>613</v>
      </c>
      <c r="D223" t="s">
        <v>610</v>
      </c>
      <c r="E223" t="s">
        <v>152</v>
      </c>
      <c r="G223">
        <v>0</v>
      </c>
      <c r="H223">
        <v>15</v>
      </c>
      <c r="I223" t="s">
        <v>614</v>
      </c>
      <c r="J223" t="s">
        <v>612</v>
      </c>
    </row>
    <row r="224" spans="1:10" x14ac:dyDescent="0.35">
      <c r="A224">
        <v>53322</v>
      </c>
      <c r="B224" t="s">
        <v>149</v>
      </c>
      <c r="C224" t="s">
        <v>615</v>
      </c>
      <c r="D224" t="s">
        <v>610</v>
      </c>
      <c r="E224" t="s">
        <v>152</v>
      </c>
      <c r="G224">
        <v>1</v>
      </c>
      <c r="H224">
        <v>13</v>
      </c>
      <c r="I224" t="s">
        <v>616</v>
      </c>
      <c r="J224" t="s">
        <v>612</v>
      </c>
    </row>
    <row r="225" spans="1:10" x14ac:dyDescent="0.35">
      <c r="A225">
        <v>53323</v>
      </c>
      <c r="B225" t="s">
        <v>149</v>
      </c>
      <c r="C225" t="s">
        <v>617</v>
      </c>
      <c r="D225" t="s">
        <v>610</v>
      </c>
      <c r="E225" t="s">
        <v>152</v>
      </c>
      <c r="G225">
        <v>1</v>
      </c>
      <c r="H225">
        <v>15</v>
      </c>
      <c r="I225" t="s">
        <v>618</v>
      </c>
      <c r="J225" t="s">
        <v>612</v>
      </c>
    </row>
    <row r="226" spans="1:10" x14ac:dyDescent="0.35">
      <c r="A226">
        <v>53324</v>
      </c>
      <c r="B226" t="s">
        <v>149</v>
      </c>
      <c r="C226" t="s">
        <v>619</v>
      </c>
      <c r="D226" t="s">
        <v>610</v>
      </c>
      <c r="E226" t="s">
        <v>152</v>
      </c>
      <c r="G226">
        <v>0</v>
      </c>
      <c r="H226">
        <v>10</v>
      </c>
      <c r="I226" t="s">
        <v>620</v>
      </c>
      <c r="J226" t="s">
        <v>612</v>
      </c>
    </row>
    <row r="227" spans="1:10" x14ac:dyDescent="0.35">
      <c r="A227">
        <v>53325</v>
      </c>
      <c r="B227" t="s">
        <v>149</v>
      </c>
      <c r="C227" t="s">
        <v>621</v>
      </c>
      <c r="D227" t="s">
        <v>610</v>
      </c>
      <c r="E227" t="s">
        <v>152</v>
      </c>
      <c r="G227">
        <v>1</v>
      </c>
      <c r="H227">
        <v>7</v>
      </c>
      <c r="I227" t="s">
        <v>622</v>
      </c>
      <c r="J227" t="s">
        <v>612</v>
      </c>
    </row>
    <row r="228" spans="1:10" x14ac:dyDescent="0.35">
      <c r="A228">
        <v>53326</v>
      </c>
      <c r="B228" t="s">
        <v>149</v>
      </c>
      <c r="C228" t="s">
        <v>623</v>
      </c>
      <c r="D228" t="s">
        <v>610</v>
      </c>
      <c r="E228" t="s">
        <v>152</v>
      </c>
      <c r="G228">
        <v>1</v>
      </c>
      <c r="H228">
        <v>8</v>
      </c>
      <c r="I228" t="s">
        <v>624</v>
      </c>
      <c r="J228" t="s">
        <v>612</v>
      </c>
    </row>
    <row r="229" spans="1:10" x14ac:dyDescent="0.35">
      <c r="A229">
        <v>53341</v>
      </c>
      <c r="B229" t="s">
        <v>149</v>
      </c>
      <c r="C229" t="s">
        <v>625</v>
      </c>
      <c r="D229" t="s">
        <v>176</v>
      </c>
      <c r="E229" t="s">
        <v>152</v>
      </c>
      <c r="G229">
        <v>0</v>
      </c>
      <c r="H229">
        <v>6</v>
      </c>
      <c r="I229" t="s">
        <v>626</v>
      </c>
      <c r="J229" t="s">
        <v>490</v>
      </c>
    </row>
    <row r="230" spans="1:10" x14ac:dyDescent="0.35">
      <c r="A230">
        <v>53397</v>
      </c>
      <c r="B230" t="s">
        <v>149</v>
      </c>
      <c r="C230" t="s">
        <v>627</v>
      </c>
      <c r="D230" t="s">
        <v>203</v>
      </c>
      <c r="E230" t="s">
        <v>152</v>
      </c>
      <c r="G230">
        <v>0</v>
      </c>
      <c r="H230">
        <v>4</v>
      </c>
      <c r="I230" t="s">
        <v>628</v>
      </c>
      <c r="J230" t="s">
        <v>431</v>
      </c>
    </row>
    <row r="231" spans="1:10" x14ac:dyDescent="0.35">
      <c r="A231">
        <v>53398</v>
      </c>
      <c r="B231" t="s">
        <v>149</v>
      </c>
      <c r="C231" t="s">
        <v>629</v>
      </c>
      <c r="D231" t="s">
        <v>203</v>
      </c>
      <c r="E231" t="s">
        <v>152</v>
      </c>
      <c r="G231">
        <v>1</v>
      </c>
      <c r="H231">
        <v>3</v>
      </c>
      <c r="I231" t="s">
        <v>630</v>
      </c>
      <c r="J231" t="s">
        <v>431</v>
      </c>
    </row>
    <row r="232" spans="1:10" x14ac:dyDescent="0.35">
      <c r="A232">
        <v>53399</v>
      </c>
      <c r="B232" t="s">
        <v>149</v>
      </c>
      <c r="C232" t="s">
        <v>631</v>
      </c>
      <c r="D232" t="s">
        <v>203</v>
      </c>
      <c r="E232" t="s">
        <v>152</v>
      </c>
      <c r="G232">
        <v>0</v>
      </c>
      <c r="H232">
        <v>3</v>
      </c>
      <c r="I232" t="s">
        <v>632</v>
      </c>
      <c r="J232" t="s">
        <v>431</v>
      </c>
    </row>
    <row r="233" spans="1:10" x14ac:dyDescent="0.35">
      <c r="A233">
        <v>53406</v>
      </c>
      <c r="B233" t="s">
        <v>149</v>
      </c>
      <c r="C233" t="s">
        <v>633</v>
      </c>
      <c r="D233" t="s">
        <v>203</v>
      </c>
      <c r="E233" t="s">
        <v>152</v>
      </c>
      <c r="G233">
        <v>0</v>
      </c>
      <c r="H233">
        <v>2</v>
      </c>
      <c r="I233" t="s">
        <v>634</v>
      </c>
      <c r="J233" t="s">
        <v>431</v>
      </c>
    </row>
    <row r="234" spans="1:10" x14ac:dyDescent="0.35">
      <c r="A234">
        <v>53407</v>
      </c>
      <c r="B234" t="s">
        <v>149</v>
      </c>
      <c r="C234" t="s">
        <v>635</v>
      </c>
      <c r="D234" t="s">
        <v>185</v>
      </c>
      <c r="E234" t="s">
        <v>152</v>
      </c>
      <c r="G234">
        <v>0</v>
      </c>
      <c r="H234">
        <v>4</v>
      </c>
      <c r="I234" t="s">
        <v>636</v>
      </c>
      <c r="J234" t="s">
        <v>431</v>
      </c>
    </row>
    <row r="235" spans="1:10" x14ac:dyDescent="0.35">
      <c r="A235">
        <v>53408</v>
      </c>
      <c r="B235" t="s">
        <v>149</v>
      </c>
      <c r="C235" t="s">
        <v>637</v>
      </c>
      <c r="D235" t="s">
        <v>185</v>
      </c>
      <c r="E235" t="s">
        <v>152</v>
      </c>
      <c r="G235">
        <v>0</v>
      </c>
      <c r="H235">
        <v>3</v>
      </c>
      <c r="I235" t="s">
        <v>638</v>
      </c>
      <c r="J235" t="s">
        <v>431</v>
      </c>
    </row>
    <row r="236" spans="1:10" x14ac:dyDescent="0.35">
      <c r="A236">
        <v>53483</v>
      </c>
      <c r="B236" t="s">
        <v>149</v>
      </c>
      <c r="C236" t="s">
        <v>639</v>
      </c>
      <c r="D236" t="s">
        <v>185</v>
      </c>
      <c r="E236" t="s">
        <v>152</v>
      </c>
      <c r="G236">
        <v>1</v>
      </c>
      <c r="H236">
        <v>4</v>
      </c>
      <c r="I236" t="s">
        <v>640</v>
      </c>
      <c r="J236" t="s">
        <v>641</v>
      </c>
    </row>
    <row r="237" spans="1:10" x14ac:dyDescent="0.35">
      <c r="A237">
        <v>53487</v>
      </c>
      <c r="B237" t="s">
        <v>149</v>
      </c>
      <c r="C237" t="s">
        <v>642</v>
      </c>
      <c r="D237" t="s">
        <v>293</v>
      </c>
      <c r="E237" t="s">
        <v>152</v>
      </c>
      <c r="G237">
        <v>1</v>
      </c>
      <c r="H237">
        <v>8</v>
      </c>
      <c r="I237" t="s">
        <v>643</v>
      </c>
      <c r="J237" t="s">
        <v>154</v>
      </c>
    </row>
    <row r="238" spans="1:10" x14ac:dyDescent="0.35">
      <c r="A238">
        <v>53488</v>
      </c>
      <c r="B238" t="s">
        <v>149</v>
      </c>
      <c r="C238" t="s">
        <v>644</v>
      </c>
      <c r="D238" t="s">
        <v>293</v>
      </c>
      <c r="E238" t="s">
        <v>152</v>
      </c>
      <c r="G238">
        <v>0</v>
      </c>
      <c r="H238">
        <v>2</v>
      </c>
      <c r="I238" t="s">
        <v>645</v>
      </c>
      <c r="J238" t="s">
        <v>490</v>
      </c>
    </row>
    <row r="239" spans="1:10" x14ac:dyDescent="0.35">
      <c r="A239">
        <v>53489</v>
      </c>
      <c r="B239" t="s">
        <v>149</v>
      </c>
      <c r="C239" t="s">
        <v>646</v>
      </c>
      <c r="D239" t="s">
        <v>293</v>
      </c>
      <c r="E239" t="s">
        <v>152</v>
      </c>
      <c r="G239">
        <v>0</v>
      </c>
      <c r="H239">
        <v>3</v>
      </c>
      <c r="I239" t="s">
        <v>647</v>
      </c>
      <c r="J239" t="s">
        <v>490</v>
      </c>
    </row>
    <row r="240" spans="1:10" x14ac:dyDescent="0.35">
      <c r="A240">
        <v>53501</v>
      </c>
      <c r="B240" t="s">
        <v>149</v>
      </c>
      <c r="C240" t="s">
        <v>648</v>
      </c>
      <c r="D240" t="s">
        <v>564</v>
      </c>
      <c r="E240" t="s">
        <v>152</v>
      </c>
      <c r="G240">
        <v>0</v>
      </c>
      <c r="H240">
        <v>12</v>
      </c>
      <c r="I240" t="s">
        <v>649</v>
      </c>
      <c r="J240" t="s">
        <v>538</v>
      </c>
    </row>
    <row r="241" spans="1:10" x14ac:dyDescent="0.35">
      <c r="A241">
        <v>53510</v>
      </c>
      <c r="B241" t="s">
        <v>149</v>
      </c>
      <c r="C241" t="s">
        <v>650</v>
      </c>
      <c r="D241" t="s">
        <v>564</v>
      </c>
      <c r="E241" t="s">
        <v>152</v>
      </c>
      <c r="G241">
        <v>1</v>
      </c>
      <c r="H241">
        <v>12</v>
      </c>
      <c r="I241" t="s">
        <v>651</v>
      </c>
      <c r="J241" t="s">
        <v>538</v>
      </c>
    </row>
    <row r="242" spans="1:10" x14ac:dyDescent="0.35">
      <c r="A242">
        <v>53519</v>
      </c>
      <c r="B242" t="s">
        <v>149</v>
      </c>
      <c r="C242" t="s">
        <v>652</v>
      </c>
      <c r="D242" t="s">
        <v>564</v>
      </c>
      <c r="E242" t="s">
        <v>152</v>
      </c>
      <c r="G242">
        <v>0</v>
      </c>
      <c r="H242">
        <v>8</v>
      </c>
      <c r="I242" t="s">
        <v>653</v>
      </c>
      <c r="J242" t="s">
        <v>525</v>
      </c>
    </row>
    <row r="243" spans="1:10" x14ac:dyDescent="0.35">
      <c r="A243">
        <v>53520</v>
      </c>
      <c r="B243" t="s">
        <v>149</v>
      </c>
      <c r="C243" t="s">
        <v>554</v>
      </c>
      <c r="D243" t="s">
        <v>555</v>
      </c>
      <c r="E243" t="s">
        <v>152</v>
      </c>
      <c r="G243">
        <v>0</v>
      </c>
      <c r="H243">
        <v>4</v>
      </c>
      <c r="I243" t="s">
        <v>654</v>
      </c>
      <c r="J243" t="s">
        <v>525</v>
      </c>
    </row>
    <row r="244" spans="1:10" x14ac:dyDescent="0.35">
      <c r="A244">
        <v>53528</v>
      </c>
      <c r="B244" t="s">
        <v>149</v>
      </c>
      <c r="C244" t="s">
        <v>655</v>
      </c>
      <c r="D244" t="s">
        <v>564</v>
      </c>
      <c r="E244" t="s">
        <v>152</v>
      </c>
      <c r="G244">
        <v>0</v>
      </c>
      <c r="H244">
        <v>8</v>
      </c>
      <c r="I244" t="s">
        <v>656</v>
      </c>
      <c r="J244" t="s">
        <v>525</v>
      </c>
    </row>
    <row r="245" spans="1:10" x14ac:dyDescent="0.35">
      <c r="A245">
        <v>53537</v>
      </c>
      <c r="B245" t="s">
        <v>149</v>
      </c>
      <c r="C245" t="s">
        <v>657</v>
      </c>
      <c r="D245" t="s">
        <v>564</v>
      </c>
      <c r="E245" t="s">
        <v>152</v>
      </c>
      <c r="G245">
        <v>0</v>
      </c>
      <c r="H245">
        <v>8</v>
      </c>
      <c r="I245" t="s">
        <v>658</v>
      </c>
      <c r="J245" t="s">
        <v>525</v>
      </c>
    </row>
    <row r="246" spans="1:10" x14ac:dyDescent="0.35">
      <c r="A246">
        <v>53546</v>
      </c>
      <c r="B246" t="s">
        <v>149</v>
      </c>
      <c r="C246" t="s">
        <v>659</v>
      </c>
      <c r="D246" t="s">
        <v>564</v>
      </c>
      <c r="E246" t="s">
        <v>152</v>
      </c>
      <c r="G246">
        <v>0</v>
      </c>
      <c r="H246">
        <v>12</v>
      </c>
      <c r="I246" t="s">
        <v>660</v>
      </c>
      <c r="J246" t="s">
        <v>525</v>
      </c>
    </row>
    <row r="247" spans="1:10" x14ac:dyDescent="0.35">
      <c r="A247">
        <v>53554</v>
      </c>
      <c r="B247" t="s">
        <v>149</v>
      </c>
      <c r="C247" t="s">
        <v>661</v>
      </c>
      <c r="D247" t="s">
        <v>151</v>
      </c>
      <c r="E247" t="s">
        <v>152</v>
      </c>
      <c r="G247">
        <v>0</v>
      </c>
      <c r="H247">
        <v>1</v>
      </c>
      <c r="I247" t="s">
        <v>662</v>
      </c>
      <c r="J247" t="s">
        <v>525</v>
      </c>
    </row>
    <row r="248" spans="1:10" x14ac:dyDescent="0.35">
      <c r="A248">
        <v>53555</v>
      </c>
      <c r="B248" t="s">
        <v>149</v>
      </c>
      <c r="C248" t="s">
        <v>663</v>
      </c>
      <c r="D248" t="s">
        <v>151</v>
      </c>
      <c r="E248" t="s">
        <v>152</v>
      </c>
      <c r="G248">
        <v>0</v>
      </c>
      <c r="H248">
        <v>1</v>
      </c>
      <c r="I248" t="s">
        <v>664</v>
      </c>
      <c r="J248" t="s">
        <v>525</v>
      </c>
    </row>
    <row r="249" spans="1:10" x14ac:dyDescent="0.35">
      <c r="A249">
        <v>53556</v>
      </c>
      <c r="B249" t="s">
        <v>149</v>
      </c>
      <c r="C249" t="s">
        <v>665</v>
      </c>
      <c r="D249" t="s">
        <v>151</v>
      </c>
      <c r="E249" t="s">
        <v>152</v>
      </c>
      <c r="G249">
        <v>0</v>
      </c>
      <c r="H249">
        <v>1</v>
      </c>
      <c r="I249" t="s">
        <v>666</v>
      </c>
      <c r="J249" t="s">
        <v>525</v>
      </c>
    </row>
    <row r="250" spans="1:10" x14ac:dyDescent="0.35">
      <c r="A250">
        <v>53557</v>
      </c>
      <c r="B250" t="s">
        <v>149</v>
      </c>
      <c r="C250" t="s">
        <v>667</v>
      </c>
      <c r="D250" t="s">
        <v>151</v>
      </c>
      <c r="E250" t="s">
        <v>152</v>
      </c>
      <c r="G250">
        <v>0</v>
      </c>
      <c r="H250">
        <v>1</v>
      </c>
      <c r="I250" t="s">
        <v>668</v>
      </c>
      <c r="J250" t="s">
        <v>525</v>
      </c>
    </row>
    <row r="251" spans="1:10" x14ac:dyDescent="0.35">
      <c r="A251">
        <v>53558</v>
      </c>
      <c r="B251" t="s">
        <v>149</v>
      </c>
      <c r="C251" t="s">
        <v>669</v>
      </c>
      <c r="D251" t="s">
        <v>151</v>
      </c>
      <c r="E251" t="s">
        <v>152</v>
      </c>
      <c r="G251">
        <v>0</v>
      </c>
      <c r="H251">
        <v>1</v>
      </c>
      <c r="I251" t="s">
        <v>670</v>
      </c>
      <c r="J251" t="s">
        <v>525</v>
      </c>
    </row>
    <row r="252" spans="1:10" x14ac:dyDescent="0.35">
      <c r="A252">
        <v>53559</v>
      </c>
      <c r="B252" t="s">
        <v>149</v>
      </c>
      <c r="C252" t="s">
        <v>671</v>
      </c>
      <c r="D252" t="s">
        <v>151</v>
      </c>
      <c r="E252" t="s">
        <v>152</v>
      </c>
      <c r="G252">
        <v>0</v>
      </c>
      <c r="H252">
        <v>1</v>
      </c>
      <c r="I252" t="s">
        <v>672</v>
      </c>
      <c r="J252" t="s">
        <v>525</v>
      </c>
    </row>
    <row r="253" spans="1:10" x14ac:dyDescent="0.35">
      <c r="A253">
        <v>53560</v>
      </c>
      <c r="B253" t="s">
        <v>149</v>
      </c>
      <c r="C253" t="s">
        <v>673</v>
      </c>
      <c r="D253" t="s">
        <v>151</v>
      </c>
      <c r="E253" t="s">
        <v>152</v>
      </c>
      <c r="G253">
        <v>0</v>
      </c>
      <c r="H253">
        <v>1</v>
      </c>
      <c r="I253" t="s">
        <v>674</v>
      </c>
      <c r="J253" t="s">
        <v>525</v>
      </c>
    </row>
    <row r="254" spans="1:10" x14ac:dyDescent="0.35">
      <c r="A254">
        <v>53561</v>
      </c>
      <c r="B254" t="s">
        <v>149</v>
      </c>
      <c r="C254" t="s">
        <v>675</v>
      </c>
      <c r="D254" t="s">
        <v>151</v>
      </c>
      <c r="E254" t="s">
        <v>152</v>
      </c>
      <c r="G254">
        <v>0</v>
      </c>
      <c r="H254">
        <v>1</v>
      </c>
      <c r="I254" t="s">
        <v>676</v>
      </c>
      <c r="J254" t="s">
        <v>525</v>
      </c>
    </row>
    <row r="255" spans="1:10" x14ac:dyDescent="0.35">
      <c r="A255">
        <v>53562</v>
      </c>
      <c r="B255" t="s">
        <v>149</v>
      </c>
      <c r="C255" t="s">
        <v>677</v>
      </c>
      <c r="D255" t="s">
        <v>151</v>
      </c>
      <c r="E255" t="s">
        <v>152</v>
      </c>
      <c r="G255">
        <v>0</v>
      </c>
      <c r="H255">
        <v>1</v>
      </c>
      <c r="I255" t="s">
        <v>678</v>
      </c>
      <c r="J255" t="s">
        <v>525</v>
      </c>
    </row>
    <row r="256" spans="1:10" x14ac:dyDescent="0.35">
      <c r="A256">
        <v>53563</v>
      </c>
      <c r="B256" t="s">
        <v>149</v>
      </c>
      <c r="C256" t="s">
        <v>679</v>
      </c>
      <c r="D256" t="s">
        <v>151</v>
      </c>
      <c r="E256" t="s">
        <v>152</v>
      </c>
      <c r="G256">
        <v>0</v>
      </c>
      <c r="H256">
        <v>1</v>
      </c>
      <c r="I256" t="s">
        <v>680</v>
      </c>
      <c r="J256" t="s">
        <v>525</v>
      </c>
    </row>
    <row r="257" spans="1:10" x14ac:dyDescent="0.35">
      <c r="A257">
        <v>53564</v>
      </c>
      <c r="B257" t="s">
        <v>149</v>
      </c>
      <c r="C257" t="s">
        <v>681</v>
      </c>
      <c r="D257" t="s">
        <v>151</v>
      </c>
      <c r="E257" t="s">
        <v>152</v>
      </c>
      <c r="G257">
        <v>0</v>
      </c>
      <c r="H257">
        <v>1</v>
      </c>
      <c r="I257" t="s">
        <v>682</v>
      </c>
      <c r="J257" t="s">
        <v>525</v>
      </c>
    </row>
    <row r="258" spans="1:10" x14ac:dyDescent="0.35">
      <c r="A258">
        <v>53565</v>
      </c>
      <c r="B258" t="s">
        <v>149</v>
      </c>
      <c r="C258" t="s">
        <v>683</v>
      </c>
      <c r="D258" t="s">
        <v>151</v>
      </c>
      <c r="E258" t="s">
        <v>152</v>
      </c>
      <c r="G258">
        <v>0</v>
      </c>
      <c r="H258">
        <v>1</v>
      </c>
      <c r="I258" t="s">
        <v>684</v>
      </c>
      <c r="J258" t="s">
        <v>525</v>
      </c>
    </row>
    <row r="259" spans="1:10" x14ac:dyDescent="0.35">
      <c r="A259">
        <v>53566</v>
      </c>
      <c r="B259" t="s">
        <v>149</v>
      </c>
      <c r="C259" t="s">
        <v>685</v>
      </c>
      <c r="D259" t="s">
        <v>151</v>
      </c>
      <c r="E259" t="s">
        <v>152</v>
      </c>
      <c r="G259">
        <v>0</v>
      </c>
      <c r="H259">
        <v>1</v>
      </c>
      <c r="I259" t="s">
        <v>686</v>
      </c>
      <c r="J259" t="s">
        <v>525</v>
      </c>
    </row>
    <row r="260" spans="1:10" x14ac:dyDescent="0.35">
      <c r="A260">
        <v>53567</v>
      </c>
      <c r="B260" t="s">
        <v>149</v>
      </c>
      <c r="C260" t="s">
        <v>687</v>
      </c>
      <c r="D260" t="s">
        <v>151</v>
      </c>
      <c r="E260" t="s">
        <v>152</v>
      </c>
      <c r="G260">
        <v>0</v>
      </c>
      <c r="H260">
        <v>1</v>
      </c>
      <c r="I260" t="s">
        <v>688</v>
      </c>
      <c r="J260" t="s">
        <v>525</v>
      </c>
    </row>
    <row r="261" spans="1:10" x14ac:dyDescent="0.35">
      <c r="A261">
        <v>53568</v>
      </c>
      <c r="B261" t="s">
        <v>149</v>
      </c>
      <c r="C261" t="s">
        <v>689</v>
      </c>
      <c r="D261" t="s">
        <v>151</v>
      </c>
      <c r="E261" t="s">
        <v>152</v>
      </c>
      <c r="G261">
        <v>0</v>
      </c>
      <c r="H261">
        <v>1</v>
      </c>
      <c r="I261" t="s">
        <v>690</v>
      </c>
      <c r="J261" t="s">
        <v>525</v>
      </c>
    </row>
    <row r="262" spans="1:10" x14ac:dyDescent="0.35">
      <c r="A262">
        <v>53569</v>
      </c>
      <c r="B262" t="s">
        <v>149</v>
      </c>
      <c r="C262" t="s">
        <v>691</v>
      </c>
      <c r="D262" t="s">
        <v>151</v>
      </c>
      <c r="E262" t="s">
        <v>152</v>
      </c>
      <c r="G262">
        <v>0</v>
      </c>
      <c r="H262">
        <v>1</v>
      </c>
      <c r="I262" t="s">
        <v>692</v>
      </c>
      <c r="J262" t="s">
        <v>525</v>
      </c>
    </row>
    <row r="263" spans="1:10" x14ac:dyDescent="0.35">
      <c r="A263">
        <v>53570</v>
      </c>
      <c r="B263" t="s">
        <v>149</v>
      </c>
      <c r="C263" t="s">
        <v>693</v>
      </c>
      <c r="D263" t="s">
        <v>151</v>
      </c>
      <c r="E263" t="s">
        <v>152</v>
      </c>
      <c r="G263">
        <v>0</v>
      </c>
      <c r="H263">
        <v>1</v>
      </c>
      <c r="I263" t="s">
        <v>694</v>
      </c>
      <c r="J263" t="s">
        <v>525</v>
      </c>
    </row>
    <row r="264" spans="1:10" x14ac:dyDescent="0.35">
      <c r="A264">
        <v>53571</v>
      </c>
      <c r="B264" t="s">
        <v>149</v>
      </c>
      <c r="C264" t="s">
        <v>695</v>
      </c>
      <c r="D264" t="s">
        <v>151</v>
      </c>
      <c r="E264" t="s">
        <v>152</v>
      </c>
      <c r="G264">
        <v>0</v>
      </c>
      <c r="H264">
        <v>1</v>
      </c>
      <c r="I264" t="s">
        <v>696</v>
      </c>
      <c r="J264" t="s">
        <v>525</v>
      </c>
    </row>
    <row r="265" spans="1:10" x14ac:dyDescent="0.35">
      <c r="A265">
        <v>53572</v>
      </c>
      <c r="B265" t="s">
        <v>149</v>
      </c>
      <c r="C265" t="s">
        <v>697</v>
      </c>
      <c r="D265" t="s">
        <v>151</v>
      </c>
      <c r="E265" t="s">
        <v>152</v>
      </c>
      <c r="G265">
        <v>0</v>
      </c>
      <c r="H265">
        <v>1</v>
      </c>
      <c r="I265" t="s">
        <v>698</v>
      </c>
      <c r="J265" t="s">
        <v>525</v>
      </c>
    </row>
    <row r="266" spans="1:10" x14ac:dyDescent="0.35">
      <c r="A266">
        <v>53573</v>
      </c>
      <c r="B266" t="s">
        <v>149</v>
      </c>
      <c r="C266" t="s">
        <v>699</v>
      </c>
      <c r="D266" t="s">
        <v>151</v>
      </c>
      <c r="E266" t="s">
        <v>152</v>
      </c>
      <c r="G266">
        <v>0</v>
      </c>
      <c r="H266">
        <v>1</v>
      </c>
      <c r="I266" t="s">
        <v>700</v>
      </c>
      <c r="J266" t="s">
        <v>525</v>
      </c>
    </row>
    <row r="267" spans="1:10" x14ac:dyDescent="0.35">
      <c r="A267">
        <v>53574</v>
      </c>
      <c r="B267" t="s">
        <v>149</v>
      </c>
      <c r="C267" t="s">
        <v>701</v>
      </c>
      <c r="D267" t="s">
        <v>151</v>
      </c>
      <c r="E267" t="s">
        <v>152</v>
      </c>
      <c r="G267">
        <v>0</v>
      </c>
      <c r="H267">
        <v>1</v>
      </c>
      <c r="I267" t="s">
        <v>702</v>
      </c>
      <c r="J267" t="s">
        <v>525</v>
      </c>
    </row>
    <row r="268" spans="1:10" x14ac:dyDescent="0.35">
      <c r="A268">
        <v>53575</v>
      </c>
      <c r="B268" t="s">
        <v>149</v>
      </c>
      <c r="C268" t="s">
        <v>703</v>
      </c>
      <c r="D268" t="s">
        <v>151</v>
      </c>
      <c r="E268" t="s">
        <v>152</v>
      </c>
      <c r="G268">
        <v>0</v>
      </c>
      <c r="H268">
        <v>1</v>
      </c>
      <c r="I268" t="s">
        <v>704</v>
      </c>
      <c r="J268" t="s">
        <v>525</v>
      </c>
    </row>
    <row r="269" spans="1:10" x14ac:dyDescent="0.35">
      <c r="A269">
        <v>53576</v>
      </c>
      <c r="B269" t="s">
        <v>149</v>
      </c>
      <c r="C269" t="s">
        <v>705</v>
      </c>
      <c r="D269" t="s">
        <v>151</v>
      </c>
      <c r="E269" t="s">
        <v>152</v>
      </c>
      <c r="G269">
        <v>0</v>
      </c>
      <c r="H269">
        <v>1</v>
      </c>
      <c r="I269" t="s">
        <v>706</v>
      </c>
      <c r="J269" t="s">
        <v>525</v>
      </c>
    </row>
    <row r="270" spans="1:10" x14ac:dyDescent="0.35">
      <c r="A270">
        <v>53577</v>
      </c>
      <c r="B270" t="s">
        <v>149</v>
      </c>
      <c r="C270" t="s">
        <v>707</v>
      </c>
      <c r="D270" t="s">
        <v>151</v>
      </c>
      <c r="E270" t="s">
        <v>152</v>
      </c>
      <c r="G270">
        <v>0</v>
      </c>
      <c r="H270">
        <v>2</v>
      </c>
      <c r="I270" t="s">
        <v>708</v>
      </c>
      <c r="J270" t="s">
        <v>525</v>
      </c>
    </row>
    <row r="271" spans="1:10" x14ac:dyDescent="0.35">
      <c r="A271">
        <v>53578</v>
      </c>
      <c r="B271" t="s">
        <v>149</v>
      </c>
      <c r="C271" t="s">
        <v>709</v>
      </c>
      <c r="D271" t="s">
        <v>151</v>
      </c>
      <c r="E271" t="s">
        <v>152</v>
      </c>
      <c r="G271">
        <v>0</v>
      </c>
      <c r="H271">
        <v>2</v>
      </c>
      <c r="I271" t="s">
        <v>710</v>
      </c>
      <c r="J271" t="s">
        <v>525</v>
      </c>
    </row>
    <row r="272" spans="1:10" x14ac:dyDescent="0.35">
      <c r="A272">
        <v>53579</v>
      </c>
      <c r="B272" t="s">
        <v>149</v>
      </c>
      <c r="C272" t="s">
        <v>711</v>
      </c>
      <c r="D272" t="s">
        <v>293</v>
      </c>
      <c r="E272" t="s">
        <v>152</v>
      </c>
      <c r="G272">
        <v>0</v>
      </c>
      <c r="H272">
        <v>3</v>
      </c>
      <c r="I272" t="s">
        <v>712</v>
      </c>
      <c r="J272" t="s">
        <v>490</v>
      </c>
    </row>
    <row r="273" spans="1:10" x14ac:dyDescent="0.35">
      <c r="A273">
        <v>53580</v>
      </c>
      <c r="B273" t="s">
        <v>149</v>
      </c>
      <c r="C273" t="s">
        <v>713</v>
      </c>
      <c r="D273" t="s">
        <v>151</v>
      </c>
      <c r="E273" t="s">
        <v>152</v>
      </c>
      <c r="G273">
        <v>0</v>
      </c>
      <c r="H273">
        <v>1</v>
      </c>
      <c r="I273" t="s">
        <v>714</v>
      </c>
      <c r="J273" t="s">
        <v>525</v>
      </c>
    </row>
    <row r="274" spans="1:10" x14ac:dyDescent="0.35">
      <c r="A274">
        <v>53581</v>
      </c>
      <c r="B274" t="s">
        <v>149</v>
      </c>
      <c r="C274" t="s">
        <v>715</v>
      </c>
      <c r="D274" t="s">
        <v>293</v>
      </c>
      <c r="E274" t="s">
        <v>152</v>
      </c>
      <c r="G274">
        <v>0</v>
      </c>
      <c r="H274">
        <v>3</v>
      </c>
      <c r="I274" t="s">
        <v>716</v>
      </c>
      <c r="J274" t="s">
        <v>154</v>
      </c>
    </row>
    <row r="275" spans="1:10" x14ac:dyDescent="0.35">
      <c r="A275">
        <v>53582</v>
      </c>
      <c r="B275" t="s">
        <v>149</v>
      </c>
      <c r="C275" t="s">
        <v>717</v>
      </c>
      <c r="D275" t="s">
        <v>151</v>
      </c>
      <c r="E275" t="s">
        <v>152</v>
      </c>
      <c r="G275">
        <v>0</v>
      </c>
      <c r="H275">
        <v>1</v>
      </c>
      <c r="I275" t="s">
        <v>718</v>
      </c>
      <c r="J275" t="s">
        <v>525</v>
      </c>
    </row>
    <row r="276" spans="1:10" x14ac:dyDescent="0.35">
      <c r="A276">
        <v>53638</v>
      </c>
      <c r="B276" t="s">
        <v>149</v>
      </c>
      <c r="C276" t="s">
        <v>719</v>
      </c>
      <c r="D276" t="s">
        <v>546</v>
      </c>
      <c r="E276" t="s">
        <v>152</v>
      </c>
      <c r="G276">
        <v>0</v>
      </c>
      <c r="H276">
        <v>7</v>
      </c>
      <c r="I276" t="s">
        <v>720</v>
      </c>
      <c r="J276" t="s">
        <v>525</v>
      </c>
    </row>
    <row r="277" spans="1:10" x14ac:dyDescent="0.35">
      <c r="A277">
        <v>53639</v>
      </c>
      <c r="B277" t="s">
        <v>149</v>
      </c>
      <c r="C277" t="s">
        <v>721</v>
      </c>
      <c r="D277" t="s">
        <v>555</v>
      </c>
      <c r="E277" t="s">
        <v>152</v>
      </c>
      <c r="G277">
        <v>0</v>
      </c>
      <c r="H277">
        <v>4</v>
      </c>
      <c r="I277" t="s">
        <v>722</v>
      </c>
      <c r="J277" t="s">
        <v>548</v>
      </c>
    </row>
    <row r="278" spans="1:10" x14ac:dyDescent="0.35">
      <c r="A278">
        <v>53641</v>
      </c>
      <c r="B278" t="s">
        <v>149</v>
      </c>
      <c r="C278" t="s">
        <v>723</v>
      </c>
      <c r="D278" t="s">
        <v>555</v>
      </c>
      <c r="E278" t="s">
        <v>152</v>
      </c>
      <c r="G278">
        <v>0</v>
      </c>
      <c r="H278">
        <v>4</v>
      </c>
      <c r="I278" t="s">
        <v>724</v>
      </c>
      <c r="J278" t="s">
        <v>548</v>
      </c>
    </row>
    <row r="279" spans="1:10" x14ac:dyDescent="0.35">
      <c r="A279">
        <v>53642</v>
      </c>
      <c r="B279" t="s">
        <v>149</v>
      </c>
      <c r="C279" t="s">
        <v>725</v>
      </c>
      <c r="D279" t="s">
        <v>555</v>
      </c>
      <c r="E279" t="s">
        <v>152</v>
      </c>
      <c r="G279">
        <v>0</v>
      </c>
      <c r="H279">
        <v>8</v>
      </c>
      <c r="I279" t="s">
        <v>726</v>
      </c>
      <c r="J279" t="s">
        <v>548</v>
      </c>
    </row>
    <row r="280" spans="1:10" x14ac:dyDescent="0.35">
      <c r="A280">
        <v>53643</v>
      </c>
      <c r="B280" t="s">
        <v>149</v>
      </c>
      <c r="C280" t="s">
        <v>727</v>
      </c>
      <c r="D280" t="s">
        <v>555</v>
      </c>
      <c r="E280" t="s">
        <v>152</v>
      </c>
      <c r="G280">
        <v>0</v>
      </c>
      <c r="H280">
        <v>2</v>
      </c>
      <c r="I280" t="s">
        <v>728</v>
      </c>
      <c r="J280" t="s">
        <v>548</v>
      </c>
    </row>
    <row r="281" spans="1:10" x14ac:dyDescent="0.35">
      <c r="A281">
        <v>53644</v>
      </c>
      <c r="B281" t="s">
        <v>149</v>
      </c>
      <c r="C281" t="s">
        <v>729</v>
      </c>
      <c r="D281" t="s">
        <v>555</v>
      </c>
      <c r="E281" t="s">
        <v>152</v>
      </c>
      <c r="G281">
        <v>0</v>
      </c>
      <c r="H281">
        <v>2</v>
      </c>
      <c r="I281" t="s">
        <v>730</v>
      </c>
      <c r="J281" t="s">
        <v>548</v>
      </c>
    </row>
    <row r="282" spans="1:10" x14ac:dyDescent="0.35">
      <c r="A282">
        <v>53723</v>
      </c>
      <c r="B282" t="s">
        <v>149</v>
      </c>
      <c r="C282" t="s">
        <v>731</v>
      </c>
      <c r="D282" t="s">
        <v>338</v>
      </c>
      <c r="E282" t="s">
        <v>152</v>
      </c>
      <c r="G282">
        <v>0</v>
      </c>
      <c r="H282">
        <v>3</v>
      </c>
      <c r="I282" t="s">
        <v>732</v>
      </c>
      <c r="J282" t="s">
        <v>733</v>
      </c>
    </row>
    <row r="283" spans="1:10" x14ac:dyDescent="0.35">
      <c r="A283">
        <v>53727</v>
      </c>
      <c r="B283" t="s">
        <v>149</v>
      </c>
      <c r="C283" t="s">
        <v>734</v>
      </c>
      <c r="D283" t="s">
        <v>293</v>
      </c>
      <c r="E283" t="s">
        <v>152</v>
      </c>
      <c r="G283">
        <v>0</v>
      </c>
      <c r="H283">
        <v>3</v>
      </c>
      <c r="I283" t="s">
        <v>735</v>
      </c>
      <c r="J283" t="s">
        <v>736</v>
      </c>
    </row>
    <row r="284" spans="1:10" x14ac:dyDescent="0.35">
      <c r="A284">
        <v>53868</v>
      </c>
      <c r="B284" t="s">
        <v>149</v>
      </c>
      <c r="C284" t="s">
        <v>737</v>
      </c>
      <c r="D284" t="s">
        <v>429</v>
      </c>
      <c r="E284" t="s">
        <v>152</v>
      </c>
      <c r="G284">
        <v>0</v>
      </c>
      <c r="H284">
        <v>4.5</v>
      </c>
      <c r="I284" t="s">
        <v>738</v>
      </c>
      <c r="J284" t="s">
        <v>525</v>
      </c>
    </row>
    <row r="285" spans="1:10" x14ac:dyDescent="0.35">
      <c r="A285">
        <v>53869</v>
      </c>
      <c r="B285" t="s">
        <v>149</v>
      </c>
      <c r="C285" t="s">
        <v>739</v>
      </c>
      <c r="D285" t="s">
        <v>429</v>
      </c>
      <c r="E285" t="s">
        <v>152</v>
      </c>
      <c r="G285">
        <v>0</v>
      </c>
      <c r="H285">
        <v>6</v>
      </c>
      <c r="I285" t="s">
        <v>740</v>
      </c>
      <c r="J285" t="s">
        <v>525</v>
      </c>
    </row>
    <row r="286" spans="1:10" x14ac:dyDescent="0.35">
      <c r="A286">
        <v>53870</v>
      </c>
      <c r="B286" t="s">
        <v>149</v>
      </c>
      <c r="C286" t="s">
        <v>741</v>
      </c>
      <c r="D286" t="s">
        <v>429</v>
      </c>
      <c r="E286" t="s">
        <v>152</v>
      </c>
      <c r="G286">
        <v>0</v>
      </c>
      <c r="H286">
        <v>5</v>
      </c>
      <c r="I286" t="s">
        <v>742</v>
      </c>
      <c r="J286" t="s">
        <v>525</v>
      </c>
    </row>
    <row r="287" spans="1:10" x14ac:dyDescent="0.35">
      <c r="A287">
        <v>53871</v>
      </c>
      <c r="B287" t="s">
        <v>149</v>
      </c>
      <c r="C287" t="s">
        <v>743</v>
      </c>
      <c r="D287" t="s">
        <v>429</v>
      </c>
      <c r="E287" t="s">
        <v>152</v>
      </c>
      <c r="G287">
        <v>0</v>
      </c>
      <c r="H287">
        <v>5</v>
      </c>
      <c r="I287" t="s">
        <v>744</v>
      </c>
      <c r="J287" t="s">
        <v>525</v>
      </c>
    </row>
    <row r="288" spans="1:10" x14ac:dyDescent="0.35">
      <c r="A288">
        <v>53872</v>
      </c>
      <c r="B288" t="s">
        <v>149</v>
      </c>
      <c r="C288" t="s">
        <v>745</v>
      </c>
      <c r="D288" t="s">
        <v>546</v>
      </c>
      <c r="E288" t="s">
        <v>152</v>
      </c>
      <c r="G288">
        <v>0</v>
      </c>
      <c r="H288">
        <v>5</v>
      </c>
      <c r="I288" t="s">
        <v>746</v>
      </c>
      <c r="J288" t="s">
        <v>525</v>
      </c>
    </row>
    <row r="289" spans="1:10" x14ac:dyDescent="0.35">
      <c r="A289">
        <v>53873</v>
      </c>
      <c r="B289" t="s">
        <v>149</v>
      </c>
      <c r="C289" t="s">
        <v>747</v>
      </c>
      <c r="D289" t="s">
        <v>546</v>
      </c>
      <c r="E289" t="s">
        <v>152</v>
      </c>
      <c r="G289">
        <v>0</v>
      </c>
      <c r="H289">
        <v>5</v>
      </c>
      <c r="I289" t="s">
        <v>748</v>
      </c>
      <c r="J289" t="s">
        <v>525</v>
      </c>
    </row>
    <row r="290" spans="1:10" x14ac:dyDescent="0.35">
      <c r="A290">
        <v>53896</v>
      </c>
      <c r="B290" t="s">
        <v>149</v>
      </c>
      <c r="C290" t="s">
        <v>749</v>
      </c>
      <c r="D290" t="s">
        <v>546</v>
      </c>
      <c r="E290" t="s">
        <v>152</v>
      </c>
      <c r="G290">
        <v>0</v>
      </c>
      <c r="H290">
        <v>6</v>
      </c>
      <c r="I290" t="s">
        <v>750</v>
      </c>
      <c r="J290" t="s">
        <v>525</v>
      </c>
    </row>
    <row r="291" spans="1:10" x14ac:dyDescent="0.35">
      <c r="A291">
        <v>53908</v>
      </c>
      <c r="B291" t="s">
        <v>149</v>
      </c>
      <c r="C291" t="s">
        <v>751</v>
      </c>
      <c r="D291" t="s">
        <v>564</v>
      </c>
      <c r="E291" t="s">
        <v>152</v>
      </c>
      <c r="G291">
        <v>0</v>
      </c>
      <c r="H291">
        <v>8</v>
      </c>
      <c r="I291" t="s">
        <v>752</v>
      </c>
      <c r="J291" t="s">
        <v>525</v>
      </c>
    </row>
    <row r="292" spans="1:10" x14ac:dyDescent="0.35">
      <c r="A292">
        <v>53918</v>
      </c>
      <c r="B292" t="s">
        <v>149</v>
      </c>
      <c r="C292" t="s">
        <v>753</v>
      </c>
      <c r="D292" t="s">
        <v>546</v>
      </c>
      <c r="E292" t="s">
        <v>152</v>
      </c>
      <c r="G292">
        <v>0</v>
      </c>
      <c r="H292">
        <v>5</v>
      </c>
      <c r="I292" t="s">
        <v>754</v>
      </c>
      <c r="J292" t="s">
        <v>525</v>
      </c>
    </row>
    <row r="293" spans="1:10" x14ac:dyDescent="0.35">
      <c r="A293">
        <v>53941</v>
      </c>
      <c r="B293" t="s">
        <v>149</v>
      </c>
      <c r="C293" t="s">
        <v>755</v>
      </c>
      <c r="D293" t="s">
        <v>610</v>
      </c>
      <c r="E293" t="s">
        <v>152</v>
      </c>
      <c r="G293">
        <v>0</v>
      </c>
      <c r="H293">
        <v>10</v>
      </c>
      <c r="I293" t="s">
        <v>756</v>
      </c>
      <c r="J293" t="s">
        <v>612</v>
      </c>
    </row>
    <row r="294" spans="1:10" x14ac:dyDescent="0.35">
      <c r="A294">
        <v>53944</v>
      </c>
      <c r="B294" t="s">
        <v>149</v>
      </c>
      <c r="C294" t="s">
        <v>755</v>
      </c>
      <c r="D294" t="s">
        <v>610</v>
      </c>
      <c r="E294" t="s">
        <v>152</v>
      </c>
      <c r="G294">
        <v>0</v>
      </c>
      <c r="H294">
        <v>8</v>
      </c>
      <c r="I294" t="s">
        <v>757</v>
      </c>
      <c r="J294" t="s">
        <v>612</v>
      </c>
    </row>
    <row r="295" spans="1:10" x14ac:dyDescent="0.35">
      <c r="A295">
        <v>53947</v>
      </c>
      <c r="B295" t="s">
        <v>149</v>
      </c>
      <c r="C295" t="s">
        <v>758</v>
      </c>
      <c r="D295" t="s">
        <v>610</v>
      </c>
      <c r="E295" t="s">
        <v>152</v>
      </c>
      <c r="G295">
        <v>0</v>
      </c>
      <c r="H295">
        <v>12</v>
      </c>
      <c r="I295" t="s">
        <v>759</v>
      </c>
      <c r="J295" t="s">
        <v>612</v>
      </c>
    </row>
    <row r="296" spans="1:10" x14ac:dyDescent="0.35">
      <c r="A296">
        <v>53948</v>
      </c>
      <c r="B296" t="s">
        <v>149</v>
      </c>
      <c r="C296" t="s">
        <v>760</v>
      </c>
      <c r="D296" t="s">
        <v>610</v>
      </c>
      <c r="E296" t="s">
        <v>152</v>
      </c>
      <c r="G296">
        <v>0</v>
      </c>
      <c r="H296">
        <v>20</v>
      </c>
      <c r="I296" t="s">
        <v>761</v>
      </c>
      <c r="J296" t="s">
        <v>612</v>
      </c>
    </row>
    <row r="297" spans="1:10" x14ac:dyDescent="0.35">
      <c r="A297">
        <v>53951</v>
      </c>
      <c r="B297" t="s">
        <v>149</v>
      </c>
      <c r="C297" t="s">
        <v>762</v>
      </c>
      <c r="D297" t="s">
        <v>280</v>
      </c>
      <c r="E297" t="s">
        <v>152</v>
      </c>
      <c r="G297">
        <v>0</v>
      </c>
      <c r="H297">
        <v>24</v>
      </c>
      <c r="I297" t="s">
        <v>763</v>
      </c>
      <c r="J297" t="s">
        <v>612</v>
      </c>
    </row>
    <row r="298" spans="1:10" x14ac:dyDescent="0.35">
      <c r="A298">
        <v>53953</v>
      </c>
      <c r="B298" t="s">
        <v>149</v>
      </c>
      <c r="C298" t="s">
        <v>764</v>
      </c>
      <c r="D298" t="s">
        <v>610</v>
      </c>
      <c r="E298" t="s">
        <v>152</v>
      </c>
      <c r="G298">
        <v>0</v>
      </c>
      <c r="H298">
        <v>10</v>
      </c>
      <c r="I298" t="s">
        <v>765</v>
      </c>
      <c r="J298" t="s">
        <v>612</v>
      </c>
    </row>
    <row r="299" spans="1:10" x14ac:dyDescent="0.35">
      <c r="A299">
        <v>53954</v>
      </c>
      <c r="B299" t="s">
        <v>149</v>
      </c>
      <c r="C299" t="s">
        <v>766</v>
      </c>
      <c r="D299" t="s">
        <v>610</v>
      </c>
      <c r="E299" t="s">
        <v>152</v>
      </c>
      <c r="G299">
        <v>0</v>
      </c>
      <c r="H299">
        <v>10</v>
      </c>
      <c r="I299" t="s">
        <v>767</v>
      </c>
      <c r="J299" t="s">
        <v>612</v>
      </c>
    </row>
    <row r="300" spans="1:10" x14ac:dyDescent="0.35">
      <c r="A300">
        <v>53964</v>
      </c>
      <c r="B300" t="s">
        <v>149</v>
      </c>
      <c r="C300" t="s">
        <v>768</v>
      </c>
      <c r="D300" t="s">
        <v>151</v>
      </c>
      <c r="E300" t="s">
        <v>152</v>
      </c>
      <c r="G300">
        <v>0</v>
      </c>
      <c r="H300">
        <v>6</v>
      </c>
      <c r="I300" t="s">
        <v>769</v>
      </c>
      <c r="J300" t="s">
        <v>736</v>
      </c>
    </row>
    <row r="301" spans="1:10" x14ac:dyDescent="0.35">
      <c r="A301">
        <v>53965</v>
      </c>
      <c r="B301" t="s">
        <v>149</v>
      </c>
      <c r="C301" t="s">
        <v>770</v>
      </c>
      <c r="D301" t="s">
        <v>429</v>
      </c>
      <c r="E301" t="s">
        <v>152</v>
      </c>
      <c r="G301">
        <v>0</v>
      </c>
      <c r="H301">
        <v>1</v>
      </c>
      <c r="I301" t="s">
        <v>771</v>
      </c>
      <c r="J301" t="s">
        <v>525</v>
      </c>
    </row>
    <row r="302" spans="1:10" x14ac:dyDescent="0.35">
      <c r="A302">
        <v>53967</v>
      </c>
      <c r="B302" t="s">
        <v>149</v>
      </c>
      <c r="C302" t="s">
        <v>772</v>
      </c>
      <c r="D302" t="s">
        <v>293</v>
      </c>
      <c r="E302" t="s">
        <v>152</v>
      </c>
      <c r="G302">
        <v>0</v>
      </c>
      <c r="H302">
        <v>8</v>
      </c>
      <c r="I302" t="s">
        <v>773</v>
      </c>
      <c r="J302" t="s">
        <v>736</v>
      </c>
    </row>
    <row r="303" spans="1:10" x14ac:dyDescent="0.35">
      <c r="A303">
        <v>53971</v>
      </c>
      <c r="B303" t="s">
        <v>149</v>
      </c>
      <c r="C303" t="s">
        <v>774</v>
      </c>
      <c r="D303" t="s">
        <v>546</v>
      </c>
      <c r="E303" t="s">
        <v>152</v>
      </c>
      <c r="G303">
        <v>0</v>
      </c>
      <c r="H303">
        <v>6</v>
      </c>
      <c r="I303" t="s">
        <v>775</v>
      </c>
      <c r="J303" t="s">
        <v>525</v>
      </c>
    </row>
    <row r="304" spans="1:10" x14ac:dyDescent="0.35">
      <c r="A304">
        <v>53980</v>
      </c>
      <c r="B304" t="s">
        <v>149</v>
      </c>
      <c r="C304" t="s">
        <v>776</v>
      </c>
      <c r="D304" t="s">
        <v>546</v>
      </c>
      <c r="E304" t="s">
        <v>152</v>
      </c>
      <c r="G304">
        <v>0</v>
      </c>
      <c r="H304">
        <v>5</v>
      </c>
      <c r="I304" t="s">
        <v>777</v>
      </c>
      <c r="J304" t="s">
        <v>525</v>
      </c>
    </row>
    <row r="305" spans="1:10" x14ac:dyDescent="0.35">
      <c r="A305">
        <v>53989</v>
      </c>
      <c r="B305" t="s">
        <v>149</v>
      </c>
      <c r="C305" t="s">
        <v>778</v>
      </c>
      <c r="D305" t="s">
        <v>552</v>
      </c>
      <c r="E305" t="s">
        <v>152</v>
      </c>
      <c r="G305">
        <v>0</v>
      </c>
      <c r="H305">
        <v>6</v>
      </c>
      <c r="I305" t="s">
        <v>779</v>
      </c>
      <c r="J305" t="s">
        <v>736</v>
      </c>
    </row>
    <row r="306" spans="1:10" x14ac:dyDescent="0.35">
      <c r="A306">
        <v>53991</v>
      </c>
      <c r="B306" t="s">
        <v>149</v>
      </c>
      <c r="C306" t="s">
        <v>780</v>
      </c>
      <c r="D306" t="s">
        <v>552</v>
      </c>
      <c r="E306" t="s">
        <v>152</v>
      </c>
      <c r="G306">
        <v>0</v>
      </c>
      <c r="H306">
        <v>6</v>
      </c>
      <c r="I306" t="s">
        <v>781</v>
      </c>
      <c r="J306" t="s">
        <v>736</v>
      </c>
    </row>
    <row r="307" spans="1:10" x14ac:dyDescent="0.35">
      <c r="A307">
        <v>53998</v>
      </c>
      <c r="B307" t="s">
        <v>149</v>
      </c>
      <c r="C307" t="s">
        <v>782</v>
      </c>
      <c r="D307" t="s">
        <v>552</v>
      </c>
      <c r="E307" t="s">
        <v>152</v>
      </c>
      <c r="G307">
        <v>0</v>
      </c>
      <c r="H307">
        <v>4</v>
      </c>
      <c r="I307" t="s">
        <v>783</v>
      </c>
      <c r="J307" t="s">
        <v>736</v>
      </c>
    </row>
    <row r="308" spans="1:10" x14ac:dyDescent="0.35">
      <c r="A308">
        <v>54005</v>
      </c>
      <c r="B308" t="s">
        <v>149</v>
      </c>
      <c r="C308" t="s">
        <v>784</v>
      </c>
      <c r="D308" t="s">
        <v>176</v>
      </c>
      <c r="E308" t="s">
        <v>152</v>
      </c>
      <c r="G308">
        <v>0</v>
      </c>
      <c r="H308">
        <v>8</v>
      </c>
      <c r="I308" t="s">
        <v>785</v>
      </c>
      <c r="J308" t="s">
        <v>736</v>
      </c>
    </row>
    <row r="309" spans="1:10" x14ac:dyDescent="0.35">
      <c r="A309">
        <v>54006</v>
      </c>
      <c r="B309" t="s">
        <v>149</v>
      </c>
      <c r="C309" t="s">
        <v>786</v>
      </c>
      <c r="D309" t="s">
        <v>429</v>
      </c>
      <c r="E309" t="s">
        <v>152</v>
      </c>
      <c r="G309">
        <v>0</v>
      </c>
      <c r="H309">
        <v>5</v>
      </c>
      <c r="I309" t="s">
        <v>787</v>
      </c>
      <c r="J309" t="s">
        <v>538</v>
      </c>
    </row>
    <row r="310" spans="1:10" x14ac:dyDescent="0.35">
      <c r="A310">
        <v>54007</v>
      </c>
      <c r="B310" t="s">
        <v>149</v>
      </c>
      <c r="C310" t="s">
        <v>788</v>
      </c>
      <c r="D310" t="s">
        <v>181</v>
      </c>
      <c r="E310" t="s">
        <v>152</v>
      </c>
      <c r="G310">
        <v>0</v>
      </c>
      <c r="H310">
        <v>5</v>
      </c>
      <c r="I310" t="s">
        <v>789</v>
      </c>
      <c r="J310" t="s">
        <v>431</v>
      </c>
    </row>
    <row r="311" spans="1:10" x14ac:dyDescent="0.35">
      <c r="A311">
        <v>54008</v>
      </c>
      <c r="B311" t="s">
        <v>149</v>
      </c>
      <c r="C311" t="s">
        <v>790</v>
      </c>
      <c r="D311" t="s">
        <v>181</v>
      </c>
      <c r="E311" t="s">
        <v>152</v>
      </c>
      <c r="G311">
        <v>0</v>
      </c>
      <c r="H311">
        <v>3</v>
      </c>
      <c r="I311" t="s">
        <v>791</v>
      </c>
      <c r="J311" t="s">
        <v>431</v>
      </c>
    </row>
    <row r="312" spans="1:10" x14ac:dyDescent="0.35">
      <c r="A312">
        <v>54180</v>
      </c>
      <c r="B312" t="s">
        <v>149</v>
      </c>
      <c r="C312" t="s">
        <v>792</v>
      </c>
      <c r="D312" t="s">
        <v>185</v>
      </c>
      <c r="E312" t="s">
        <v>152</v>
      </c>
      <c r="G312">
        <v>1</v>
      </c>
      <c r="H312">
        <v>4</v>
      </c>
      <c r="I312" t="s">
        <v>793</v>
      </c>
      <c r="J312" t="s">
        <v>431</v>
      </c>
    </row>
    <row r="313" spans="1:10" x14ac:dyDescent="0.35">
      <c r="A313">
        <v>54680</v>
      </c>
      <c r="B313" t="s">
        <v>149</v>
      </c>
      <c r="C313" t="s">
        <v>794</v>
      </c>
      <c r="D313" t="s">
        <v>280</v>
      </c>
      <c r="E313" t="s">
        <v>152</v>
      </c>
      <c r="G313">
        <v>0</v>
      </c>
      <c r="H313">
        <v>2</v>
      </c>
      <c r="I313" t="s">
        <v>795</v>
      </c>
      <c r="J313" t="s">
        <v>190</v>
      </c>
    </row>
    <row r="314" spans="1:10" x14ac:dyDescent="0.35">
      <c r="A314">
        <v>54800</v>
      </c>
      <c r="B314" t="s">
        <v>149</v>
      </c>
      <c r="C314" t="s">
        <v>796</v>
      </c>
      <c r="D314" t="s">
        <v>203</v>
      </c>
      <c r="E314" t="s">
        <v>152</v>
      </c>
      <c r="G314">
        <v>0</v>
      </c>
      <c r="H314">
        <v>3</v>
      </c>
      <c r="I314" t="s">
        <v>797</v>
      </c>
      <c r="J314" t="s">
        <v>431</v>
      </c>
    </row>
    <row r="315" spans="1:10" x14ac:dyDescent="0.35">
      <c r="A315">
        <v>54801</v>
      </c>
      <c r="B315" t="s">
        <v>149</v>
      </c>
      <c r="C315" t="s">
        <v>798</v>
      </c>
      <c r="D315" t="s">
        <v>203</v>
      </c>
      <c r="E315" t="s">
        <v>152</v>
      </c>
      <c r="G315">
        <v>1</v>
      </c>
      <c r="H315">
        <v>6</v>
      </c>
      <c r="I315" t="s">
        <v>799</v>
      </c>
      <c r="J315" t="s">
        <v>431</v>
      </c>
    </row>
    <row r="316" spans="1:10" x14ac:dyDescent="0.35">
      <c r="A316">
        <v>54802</v>
      </c>
      <c r="B316" t="s">
        <v>149</v>
      </c>
      <c r="C316" t="s">
        <v>800</v>
      </c>
      <c r="D316" t="s">
        <v>429</v>
      </c>
      <c r="E316" t="s">
        <v>152</v>
      </c>
      <c r="G316">
        <v>0</v>
      </c>
      <c r="H316">
        <v>0.5</v>
      </c>
      <c r="I316" t="s">
        <v>801</v>
      </c>
      <c r="J316" t="s">
        <v>431</v>
      </c>
    </row>
    <row r="317" spans="1:10" x14ac:dyDescent="0.35">
      <c r="A317">
        <v>54803</v>
      </c>
      <c r="B317" t="s">
        <v>149</v>
      </c>
      <c r="C317" t="s">
        <v>802</v>
      </c>
      <c r="D317" t="s">
        <v>429</v>
      </c>
      <c r="E317" t="s">
        <v>152</v>
      </c>
      <c r="G317">
        <v>0</v>
      </c>
      <c r="H317">
        <v>1</v>
      </c>
      <c r="I317" t="s">
        <v>803</v>
      </c>
      <c r="J317" t="s">
        <v>431</v>
      </c>
    </row>
    <row r="318" spans="1:10" x14ac:dyDescent="0.35">
      <c r="A318">
        <v>54804</v>
      </c>
      <c r="B318" t="s">
        <v>149</v>
      </c>
      <c r="C318" t="s">
        <v>804</v>
      </c>
      <c r="D318" t="s">
        <v>429</v>
      </c>
      <c r="E318" t="s">
        <v>152</v>
      </c>
      <c r="G318">
        <v>0</v>
      </c>
      <c r="H318">
        <v>1</v>
      </c>
      <c r="I318" t="s">
        <v>805</v>
      </c>
      <c r="J318" t="s">
        <v>431</v>
      </c>
    </row>
    <row r="319" spans="1:10" x14ac:dyDescent="0.35">
      <c r="A319">
        <v>54805</v>
      </c>
      <c r="B319" t="s">
        <v>149</v>
      </c>
      <c r="C319" t="s">
        <v>806</v>
      </c>
      <c r="D319" t="s">
        <v>429</v>
      </c>
      <c r="E319" t="s">
        <v>152</v>
      </c>
      <c r="G319">
        <v>0</v>
      </c>
      <c r="H319">
        <v>1</v>
      </c>
      <c r="I319" t="s">
        <v>807</v>
      </c>
      <c r="J319" t="s">
        <v>431</v>
      </c>
    </row>
    <row r="320" spans="1:10" x14ac:dyDescent="0.35">
      <c r="A320">
        <v>54806</v>
      </c>
      <c r="B320" t="s">
        <v>149</v>
      </c>
      <c r="C320" t="s">
        <v>808</v>
      </c>
      <c r="D320" t="s">
        <v>429</v>
      </c>
      <c r="E320" t="s">
        <v>152</v>
      </c>
      <c r="G320">
        <v>0</v>
      </c>
      <c r="H320">
        <v>1</v>
      </c>
      <c r="I320" t="s">
        <v>809</v>
      </c>
      <c r="J320" t="s">
        <v>431</v>
      </c>
    </row>
    <row r="321" spans="1:10" x14ac:dyDescent="0.35">
      <c r="A321">
        <v>54807</v>
      </c>
      <c r="B321" t="s">
        <v>149</v>
      </c>
      <c r="C321" t="s">
        <v>810</v>
      </c>
      <c r="D321" t="s">
        <v>429</v>
      </c>
      <c r="E321" t="s">
        <v>152</v>
      </c>
      <c r="G321">
        <v>0</v>
      </c>
      <c r="H321">
        <v>2</v>
      </c>
      <c r="I321" t="s">
        <v>811</v>
      </c>
      <c r="J321" t="s">
        <v>431</v>
      </c>
    </row>
    <row r="322" spans="1:10" x14ac:dyDescent="0.35">
      <c r="A322">
        <v>54991</v>
      </c>
      <c r="B322" t="s">
        <v>149</v>
      </c>
      <c r="C322" t="s">
        <v>812</v>
      </c>
      <c r="D322" t="s">
        <v>185</v>
      </c>
      <c r="E322" t="s">
        <v>152</v>
      </c>
      <c r="G322">
        <v>0</v>
      </c>
      <c r="H322">
        <v>3</v>
      </c>
      <c r="I322" t="s">
        <v>813</v>
      </c>
      <c r="J322" t="s">
        <v>187</v>
      </c>
    </row>
    <row r="323" spans="1:10" x14ac:dyDescent="0.35">
      <c r="A323">
        <v>54992</v>
      </c>
      <c r="B323" t="s">
        <v>149</v>
      </c>
      <c r="C323" t="s">
        <v>814</v>
      </c>
      <c r="D323" t="s">
        <v>185</v>
      </c>
      <c r="E323" t="s">
        <v>152</v>
      </c>
      <c r="G323">
        <v>0</v>
      </c>
      <c r="H323">
        <v>3</v>
      </c>
      <c r="I323" t="s">
        <v>815</v>
      </c>
      <c r="J323" t="s">
        <v>187</v>
      </c>
    </row>
    <row r="324" spans="1:10" x14ac:dyDescent="0.35">
      <c r="A324">
        <v>55004</v>
      </c>
      <c r="B324" t="s">
        <v>149</v>
      </c>
      <c r="C324" t="s">
        <v>816</v>
      </c>
      <c r="D324" t="s">
        <v>429</v>
      </c>
      <c r="E324" t="s">
        <v>152</v>
      </c>
      <c r="G324">
        <v>0</v>
      </c>
      <c r="H324">
        <v>5</v>
      </c>
      <c r="I324" t="s">
        <v>817</v>
      </c>
      <c r="J324" t="s">
        <v>190</v>
      </c>
    </row>
    <row r="325" spans="1:10" x14ac:dyDescent="0.35">
      <c r="A325">
        <v>55005</v>
      </c>
      <c r="B325" t="s">
        <v>149</v>
      </c>
      <c r="C325" t="s">
        <v>818</v>
      </c>
      <c r="D325" t="s">
        <v>429</v>
      </c>
      <c r="E325" t="s">
        <v>152</v>
      </c>
      <c r="G325">
        <v>0</v>
      </c>
      <c r="H325">
        <v>5</v>
      </c>
      <c r="I325" t="s">
        <v>819</v>
      </c>
      <c r="J325" t="s">
        <v>190</v>
      </c>
    </row>
    <row r="326" spans="1:10" x14ac:dyDescent="0.35">
      <c r="A326">
        <v>55006</v>
      </c>
      <c r="B326" t="s">
        <v>149</v>
      </c>
      <c r="C326" t="s">
        <v>820</v>
      </c>
      <c r="D326" t="s">
        <v>555</v>
      </c>
      <c r="E326" t="s">
        <v>152</v>
      </c>
      <c r="G326">
        <v>0</v>
      </c>
      <c r="H326">
        <v>1</v>
      </c>
      <c r="I326" t="s">
        <v>821</v>
      </c>
      <c r="J326" t="s">
        <v>525</v>
      </c>
    </row>
    <row r="327" spans="1:10" x14ac:dyDescent="0.35">
      <c r="A327">
        <v>55007</v>
      </c>
      <c r="B327" t="s">
        <v>149</v>
      </c>
      <c r="C327" t="s">
        <v>822</v>
      </c>
      <c r="D327" t="s">
        <v>555</v>
      </c>
      <c r="E327" t="s">
        <v>152</v>
      </c>
      <c r="G327">
        <v>0</v>
      </c>
      <c r="H327">
        <v>9</v>
      </c>
      <c r="I327" t="s">
        <v>823</v>
      </c>
      <c r="J327" t="s">
        <v>525</v>
      </c>
    </row>
    <row r="328" spans="1:10" x14ac:dyDescent="0.35">
      <c r="A328">
        <v>55009</v>
      </c>
      <c r="B328" t="s">
        <v>149</v>
      </c>
      <c r="C328" t="s">
        <v>824</v>
      </c>
      <c r="D328" t="s">
        <v>203</v>
      </c>
      <c r="E328" t="s">
        <v>152</v>
      </c>
      <c r="G328">
        <v>0</v>
      </c>
      <c r="H328">
        <v>4</v>
      </c>
      <c r="I328" t="s">
        <v>825</v>
      </c>
      <c r="J328" t="s">
        <v>190</v>
      </c>
    </row>
    <row r="329" spans="1:10" x14ac:dyDescent="0.35">
      <c r="A329">
        <v>55010</v>
      </c>
      <c r="B329" t="s">
        <v>149</v>
      </c>
      <c r="C329" t="s">
        <v>826</v>
      </c>
      <c r="D329" t="s">
        <v>203</v>
      </c>
      <c r="E329" t="s">
        <v>152</v>
      </c>
      <c r="G329">
        <v>0</v>
      </c>
      <c r="H329">
        <v>6</v>
      </c>
      <c r="I329" t="s">
        <v>827</v>
      </c>
      <c r="J329" t="s">
        <v>190</v>
      </c>
    </row>
    <row r="330" spans="1:10" x14ac:dyDescent="0.35">
      <c r="A330">
        <v>55011</v>
      </c>
      <c r="B330" t="s">
        <v>149</v>
      </c>
      <c r="C330" t="s">
        <v>828</v>
      </c>
      <c r="D330" t="s">
        <v>203</v>
      </c>
      <c r="E330" t="s">
        <v>152</v>
      </c>
      <c r="G330">
        <v>0</v>
      </c>
      <c r="H330">
        <v>4</v>
      </c>
      <c r="I330" t="s">
        <v>829</v>
      </c>
      <c r="J330" t="s">
        <v>190</v>
      </c>
    </row>
    <row r="331" spans="1:10" x14ac:dyDescent="0.35">
      <c r="A331">
        <v>55012</v>
      </c>
      <c r="B331" t="s">
        <v>149</v>
      </c>
      <c r="C331" t="s">
        <v>830</v>
      </c>
      <c r="D331" t="s">
        <v>203</v>
      </c>
      <c r="E331" t="s">
        <v>152</v>
      </c>
      <c r="G331">
        <v>0</v>
      </c>
      <c r="H331">
        <v>6</v>
      </c>
      <c r="I331" t="s">
        <v>831</v>
      </c>
      <c r="J331" t="s">
        <v>190</v>
      </c>
    </row>
    <row r="332" spans="1:10" x14ac:dyDescent="0.35">
      <c r="A332">
        <v>55013</v>
      </c>
      <c r="B332" t="s">
        <v>149</v>
      </c>
      <c r="C332" t="s">
        <v>832</v>
      </c>
      <c r="D332" t="s">
        <v>203</v>
      </c>
      <c r="E332" t="s">
        <v>152</v>
      </c>
      <c r="G332">
        <v>0</v>
      </c>
      <c r="H332">
        <v>6</v>
      </c>
      <c r="I332" t="s">
        <v>833</v>
      </c>
      <c r="J332" t="s">
        <v>190</v>
      </c>
    </row>
    <row r="333" spans="1:10" x14ac:dyDescent="0.35">
      <c r="A333">
        <v>55014</v>
      </c>
      <c r="B333" t="s">
        <v>149</v>
      </c>
      <c r="C333" t="s">
        <v>834</v>
      </c>
      <c r="D333" t="s">
        <v>203</v>
      </c>
      <c r="E333" t="s">
        <v>152</v>
      </c>
      <c r="G333">
        <v>0</v>
      </c>
      <c r="H333">
        <v>4</v>
      </c>
      <c r="I333" t="s">
        <v>835</v>
      </c>
      <c r="J333" t="s">
        <v>190</v>
      </c>
    </row>
    <row r="334" spans="1:10" x14ac:dyDescent="0.35">
      <c r="A334">
        <v>55015</v>
      </c>
      <c r="B334" t="s">
        <v>149</v>
      </c>
      <c r="C334" t="s">
        <v>836</v>
      </c>
      <c r="D334" t="s">
        <v>203</v>
      </c>
      <c r="E334" t="s">
        <v>152</v>
      </c>
      <c r="G334">
        <v>0</v>
      </c>
      <c r="H334">
        <v>6</v>
      </c>
      <c r="I334" t="s">
        <v>837</v>
      </c>
      <c r="J334" t="s">
        <v>190</v>
      </c>
    </row>
    <row r="335" spans="1:10" x14ac:dyDescent="0.35">
      <c r="A335">
        <v>55016</v>
      </c>
      <c r="B335" t="s">
        <v>149</v>
      </c>
      <c r="C335" t="s">
        <v>838</v>
      </c>
      <c r="D335" t="s">
        <v>203</v>
      </c>
      <c r="E335" t="s">
        <v>152</v>
      </c>
      <c r="G335">
        <v>0</v>
      </c>
      <c r="H335">
        <v>6</v>
      </c>
      <c r="I335" t="s">
        <v>839</v>
      </c>
      <c r="J335" t="s">
        <v>190</v>
      </c>
    </row>
    <row r="336" spans="1:10" x14ac:dyDescent="0.35">
      <c r="A336">
        <v>55017</v>
      </c>
      <c r="B336" t="s">
        <v>149</v>
      </c>
      <c r="C336" t="s">
        <v>840</v>
      </c>
      <c r="D336" t="s">
        <v>203</v>
      </c>
      <c r="E336" t="s">
        <v>152</v>
      </c>
      <c r="G336">
        <v>1</v>
      </c>
      <c r="H336">
        <v>6</v>
      </c>
      <c r="I336" t="s">
        <v>841</v>
      </c>
      <c r="J336" t="s">
        <v>190</v>
      </c>
    </row>
    <row r="337" spans="1:10" x14ac:dyDescent="0.35">
      <c r="A337">
        <v>55025</v>
      </c>
      <c r="B337" t="s">
        <v>149</v>
      </c>
      <c r="C337" t="s">
        <v>842</v>
      </c>
      <c r="D337" t="s">
        <v>293</v>
      </c>
      <c r="E337" t="s">
        <v>152</v>
      </c>
      <c r="G337">
        <v>0</v>
      </c>
      <c r="H337">
        <v>8</v>
      </c>
      <c r="I337" t="s">
        <v>843</v>
      </c>
      <c r="J337" t="s">
        <v>736</v>
      </c>
    </row>
    <row r="338" spans="1:10" x14ac:dyDescent="0.35">
      <c r="A338">
        <v>55039</v>
      </c>
      <c r="B338" t="s">
        <v>149</v>
      </c>
      <c r="C338" t="s">
        <v>844</v>
      </c>
      <c r="D338" t="s">
        <v>181</v>
      </c>
      <c r="E338" t="s">
        <v>152</v>
      </c>
      <c r="G338">
        <v>0</v>
      </c>
      <c r="H338">
        <v>4</v>
      </c>
      <c r="I338" t="s">
        <v>845</v>
      </c>
      <c r="J338" t="s">
        <v>431</v>
      </c>
    </row>
    <row r="339" spans="1:10" x14ac:dyDescent="0.35">
      <c r="A339">
        <v>55091</v>
      </c>
      <c r="B339" t="s">
        <v>149</v>
      </c>
      <c r="C339" t="s">
        <v>846</v>
      </c>
      <c r="D339" t="s">
        <v>151</v>
      </c>
      <c r="E339" t="s">
        <v>152</v>
      </c>
      <c r="G339">
        <v>0</v>
      </c>
      <c r="H339">
        <v>8</v>
      </c>
      <c r="I339" t="s">
        <v>847</v>
      </c>
      <c r="J339" t="s">
        <v>736</v>
      </c>
    </row>
    <row r="340" spans="1:10" x14ac:dyDescent="0.35">
      <c r="A340">
        <v>55102</v>
      </c>
      <c r="B340" t="s">
        <v>149</v>
      </c>
      <c r="C340" t="s">
        <v>848</v>
      </c>
      <c r="D340" t="s">
        <v>176</v>
      </c>
      <c r="E340" t="s">
        <v>152</v>
      </c>
      <c r="G340">
        <v>0</v>
      </c>
      <c r="H340">
        <v>8</v>
      </c>
      <c r="I340" t="s">
        <v>849</v>
      </c>
      <c r="J340" t="s">
        <v>736</v>
      </c>
    </row>
    <row r="341" spans="1:10" x14ac:dyDescent="0.35">
      <c r="A341">
        <v>55104</v>
      </c>
      <c r="B341" t="s">
        <v>149</v>
      </c>
      <c r="C341" t="s">
        <v>850</v>
      </c>
      <c r="D341" t="s">
        <v>176</v>
      </c>
      <c r="E341" t="s">
        <v>152</v>
      </c>
      <c r="G341">
        <v>0</v>
      </c>
      <c r="H341">
        <v>5</v>
      </c>
      <c r="I341" t="s">
        <v>851</v>
      </c>
      <c r="J341" t="s">
        <v>736</v>
      </c>
    </row>
    <row r="342" spans="1:10" x14ac:dyDescent="0.35">
      <c r="A342">
        <v>55479</v>
      </c>
      <c r="B342" t="s">
        <v>149</v>
      </c>
      <c r="C342" t="s">
        <v>852</v>
      </c>
      <c r="D342" t="s">
        <v>429</v>
      </c>
      <c r="E342" t="s">
        <v>152</v>
      </c>
      <c r="G342">
        <v>0</v>
      </c>
      <c r="H342">
        <v>5</v>
      </c>
      <c r="I342" t="s">
        <v>853</v>
      </c>
      <c r="J342" t="s">
        <v>190</v>
      </c>
    </row>
    <row r="343" spans="1:10" x14ac:dyDescent="0.35">
      <c r="A343">
        <v>55480</v>
      </c>
      <c r="B343" t="s">
        <v>149</v>
      </c>
      <c r="C343" t="s">
        <v>854</v>
      </c>
      <c r="D343" t="s">
        <v>429</v>
      </c>
      <c r="E343" t="s">
        <v>152</v>
      </c>
      <c r="G343">
        <v>0</v>
      </c>
      <c r="H343">
        <v>4</v>
      </c>
      <c r="I343" t="s">
        <v>855</v>
      </c>
      <c r="J343" t="s">
        <v>190</v>
      </c>
    </row>
    <row r="344" spans="1:10" x14ac:dyDescent="0.35">
      <c r="A344">
        <v>55481</v>
      </c>
      <c r="B344" t="s">
        <v>149</v>
      </c>
      <c r="C344" t="s">
        <v>856</v>
      </c>
      <c r="D344" t="s">
        <v>429</v>
      </c>
      <c r="E344" t="s">
        <v>152</v>
      </c>
      <c r="G344">
        <v>0</v>
      </c>
      <c r="H344">
        <v>5</v>
      </c>
      <c r="I344" t="s">
        <v>857</v>
      </c>
      <c r="J344" t="s">
        <v>190</v>
      </c>
    </row>
    <row r="345" spans="1:10" x14ac:dyDescent="0.35">
      <c r="A345">
        <v>55482</v>
      </c>
      <c r="B345" t="s">
        <v>149</v>
      </c>
      <c r="C345" t="s">
        <v>476</v>
      </c>
      <c r="D345" t="s">
        <v>429</v>
      </c>
      <c r="E345" t="s">
        <v>152</v>
      </c>
      <c r="G345">
        <v>0</v>
      </c>
      <c r="H345">
        <v>3</v>
      </c>
      <c r="I345" t="s">
        <v>858</v>
      </c>
      <c r="J345" t="s">
        <v>190</v>
      </c>
    </row>
    <row r="346" spans="1:10" x14ac:dyDescent="0.35">
      <c r="A346">
        <v>55492</v>
      </c>
      <c r="B346" t="s">
        <v>149</v>
      </c>
      <c r="C346" t="s">
        <v>859</v>
      </c>
      <c r="D346" t="s">
        <v>429</v>
      </c>
      <c r="E346" t="s">
        <v>152</v>
      </c>
      <c r="G346">
        <v>0</v>
      </c>
      <c r="H346">
        <v>5</v>
      </c>
      <c r="I346" t="s">
        <v>860</v>
      </c>
      <c r="J346" t="s">
        <v>190</v>
      </c>
    </row>
    <row r="347" spans="1:10" x14ac:dyDescent="0.35">
      <c r="A347">
        <v>55493</v>
      </c>
      <c r="B347" t="s">
        <v>149</v>
      </c>
      <c r="C347" t="s">
        <v>861</v>
      </c>
      <c r="D347" t="s">
        <v>429</v>
      </c>
      <c r="E347" t="s">
        <v>152</v>
      </c>
      <c r="G347">
        <v>0</v>
      </c>
      <c r="H347">
        <v>3</v>
      </c>
      <c r="I347" t="s">
        <v>862</v>
      </c>
      <c r="J347" t="s">
        <v>190</v>
      </c>
    </row>
    <row r="348" spans="1:10" x14ac:dyDescent="0.35">
      <c r="A348">
        <v>55495</v>
      </c>
      <c r="B348" t="s">
        <v>149</v>
      </c>
      <c r="C348" t="s">
        <v>861</v>
      </c>
      <c r="D348" t="s">
        <v>429</v>
      </c>
      <c r="E348" t="s">
        <v>152</v>
      </c>
      <c r="G348">
        <v>0</v>
      </c>
      <c r="H348">
        <v>4</v>
      </c>
      <c r="I348" t="s">
        <v>863</v>
      </c>
      <c r="J348" t="s">
        <v>190</v>
      </c>
    </row>
    <row r="349" spans="1:10" x14ac:dyDescent="0.35">
      <c r="A349">
        <v>55496</v>
      </c>
      <c r="B349" t="s">
        <v>149</v>
      </c>
      <c r="C349" t="s">
        <v>864</v>
      </c>
      <c r="D349" t="s">
        <v>429</v>
      </c>
      <c r="E349" t="s">
        <v>152</v>
      </c>
      <c r="G349">
        <v>0</v>
      </c>
      <c r="H349">
        <v>4</v>
      </c>
      <c r="I349" t="s">
        <v>865</v>
      </c>
      <c r="J349" t="s">
        <v>190</v>
      </c>
    </row>
    <row r="350" spans="1:10" x14ac:dyDescent="0.35">
      <c r="A350">
        <v>55524</v>
      </c>
      <c r="B350" t="s">
        <v>149</v>
      </c>
      <c r="C350" t="s">
        <v>866</v>
      </c>
      <c r="D350" t="s">
        <v>564</v>
      </c>
      <c r="E350" t="s">
        <v>152</v>
      </c>
      <c r="G350">
        <v>0</v>
      </c>
      <c r="H350">
        <v>8</v>
      </c>
      <c r="I350" t="s">
        <v>867</v>
      </c>
      <c r="J350" t="s">
        <v>525</v>
      </c>
    </row>
    <row r="351" spans="1:10" x14ac:dyDescent="0.35">
      <c r="A351">
        <v>55626</v>
      </c>
      <c r="B351" t="s">
        <v>149</v>
      </c>
      <c r="C351" t="s">
        <v>868</v>
      </c>
      <c r="D351" t="s">
        <v>151</v>
      </c>
      <c r="E351" t="s">
        <v>152</v>
      </c>
      <c r="G351">
        <v>0</v>
      </c>
      <c r="H351">
        <v>8</v>
      </c>
      <c r="I351" t="s">
        <v>869</v>
      </c>
      <c r="J351" t="s">
        <v>736</v>
      </c>
    </row>
    <row r="352" spans="1:10" x14ac:dyDescent="0.35">
      <c r="A352">
        <v>55670</v>
      </c>
      <c r="B352" t="s">
        <v>149</v>
      </c>
      <c r="C352" t="s">
        <v>870</v>
      </c>
      <c r="D352" t="s">
        <v>293</v>
      </c>
      <c r="E352" t="s">
        <v>152</v>
      </c>
      <c r="G352">
        <v>0</v>
      </c>
      <c r="H352">
        <v>6</v>
      </c>
      <c r="I352" t="s">
        <v>871</v>
      </c>
      <c r="J352" t="s">
        <v>736</v>
      </c>
    </row>
    <row r="353" spans="1:10" x14ac:dyDescent="0.35">
      <c r="A353">
        <v>55671</v>
      </c>
      <c r="B353" t="s">
        <v>149</v>
      </c>
      <c r="C353" t="s">
        <v>872</v>
      </c>
      <c r="D353" t="s">
        <v>293</v>
      </c>
      <c r="E353" t="s">
        <v>152</v>
      </c>
      <c r="G353">
        <v>0</v>
      </c>
      <c r="H353">
        <v>2</v>
      </c>
      <c r="I353" t="s">
        <v>873</v>
      </c>
      <c r="J353" t="s">
        <v>736</v>
      </c>
    </row>
    <row r="354" spans="1:10" x14ac:dyDescent="0.35">
      <c r="A354">
        <v>55672</v>
      </c>
      <c r="B354" t="s">
        <v>149</v>
      </c>
      <c r="C354" t="s">
        <v>874</v>
      </c>
      <c r="D354" t="s">
        <v>429</v>
      </c>
      <c r="E354" t="s">
        <v>152</v>
      </c>
      <c r="G354">
        <v>0</v>
      </c>
      <c r="H354">
        <v>0.5</v>
      </c>
      <c r="I354" t="s">
        <v>875</v>
      </c>
      <c r="J354" t="s">
        <v>538</v>
      </c>
    </row>
    <row r="355" spans="1:10" x14ac:dyDescent="0.35">
      <c r="A355">
        <v>55673</v>
      </c>
      <c r="B355" t="s">
        <v>149</v>
      </c>
      <c r="C355" t="s">
        <v>876</v>
      </c>
      <c r="D355" t="s">
        <v>429</v>
      </c>
      <c r="E355" t="s">
        <v>152</v>
      </c>
      <c r="G355">
        <v>0</v>
      </c>
      <c r="H355">
        <v>0.5</v>
      </c>
      <c r="I355" t="s">
        <v>877</v>
      </c>
      <c r="J355" t="s">
        <v>538</v>
      </c>
    </row>
    <row r="356" spans="1:10" x14ac:dyDescent="0.35">
      <c r="A356">
        <v>55743</v>
      </c>
      <c r="B356" t="s">
        <v>149</v>
      </c>
      <c r="C356" t="s">
        <v>878</v>
      </c>
      <c r="D356" t="s">
        <v>429</v>
      </c>
      <c r="E356" t="s">
        <v>152</v>
      </c>
      <c r="G356">
        <v>0</v>
      </c>
      <c r="H356">
        <v>0.5</v>
      </c>
      <c r="I356" t="s">
        <v>879</v>
      </c>
      <c r="J356" t="s">
        <v>431</v>
      </c>
    </row>
    <row r="357" spans="1:10" x14ac:dyDescent="0.35">
      <c r="A357">
        <v>55793</v>
      </c>
      <c r="B357" t="s">
        <v>149</v>
      </c>
      <c r="C357" t="s">
        <v>880</v>
      </c>
      <c r="D357" t="s">
        <v>429</v>
      </c>
      <c r="E357" t="s">
        <v>152</v>
      </c>
      <c r="G357">
        <v>0</v>
      </c>
      <c r="H357">
        <v>0.5</v>
      </c>
      <c r="I357" t="s">
        <v>881</v>
      </c>
      <c r="J357" t="s">
        <v>431</v>
      </c>
    </row>
    <row r="358" spans="1:10" x14ac:dyDescent="0.35">
      <c r="A358">
        <v>55804</v>
      </c>
      <c r="B358" t="s">
        <v>149</v>
      </c>
      <c r="C358" t="s">
        <v>882</v>
      </c>
      <c r="D358" t="s">
        <v>429</v>
      </c>
      <c r="E358" t="s">
        <v>152</v>
      </c>
      <c r="G358">
        <v>0</v>
      </c>
      <c r="H358">
        <v>0.5</v>
      </c>
      <c r="I358" t="s">
        <v>883</v>
      </c>
      <c r="J358" t="s">
        <v>431</v>
      </c>
    </row>
    <row r="359" spans="1:10" x14ac:dyDescent="0.35">
      <c r="A359">
        <v>56053</v>
      </c>
      <c r="B359" t="s">
        <v>149</v>
      </c>
      <c r="C359" t="s">
        <v>884</v>
      </c>
      <c r="D359" t="s">
        <v>429</v>
      </c>
      <c r="E359" t="s">
        <v>152</v>
      </c>
      <c r="G359">
        <v>0</v>
      </c>
      <c r="H359">
        <v>7</v>
      </c>
      <c r="I359" t="s">
        <v>885</v>
      </c>
      <c r="J359" t="s">
        <v>190</v>
      </c>
    </row>
    <row r="360" spans="1:10" x14ac:dyDescent="0.35">
      <c r="A360">
        <v>56054</v>
      </c>
      <c r="B360" t="s">
        <v>149</v>
      </c>
      <c r="C360" t="s">
        <v>886</v>
      </c>
      <c r="D360" t="s">
        <v>429</v>
      </c>
      <c r="E360" t="s">
        <v>152</v>
      </c>
      <c r="G360">
        <v>0</v>
      </c>
      <c r="H360">
        <v>6</v>
      </c>
      <c r="I360" t="s">
        <v>887</v>
      </c>
      <c r="J360" t="s">
        <v>525</v>
      </c>
    </row>
    <row r="361" spans="1:10" x14ac:dyDescent="0.35">
      <c r="A361">
        <v>56059</v>
      </c>
      <c r="B361" t="s">
        <v>149</v>
      </c>
      <c r="C361" t="s">
        <v>888</v>
      </c>
      <c r="D361" t="s">
        <v>151</v>
      </c>
      <c r="E361" t="s">
        <v>152</v>
      </c>
      <c r="G361">
        <v>0</v>
      </c>
      <c r="H361">
        <v>4</v>
      </c>
      <c r="I361" t="s">
        <v>889</v>
      </c>
      <c r="J361" t="s">
        <v>525</v>
      </c>
    </row>
    <row r="362" spans="1:10" x14ac:dyDescent="0.35">
      <c r="A362">
        <v>56060</v>
      </c>
      <c r="B362" t="s">
        <v>149</v>
      </c>
      <c r="C362" t="s">
        <v>890</v>
      </c>
      <c r="D362" t="s">
        <v>151</v>
      </c>
      <c r="E362" t="s">
        <v>152</v>
      </c>
      <c r="G362">
        <v>0</v>
      </c>
      <c r="H362">
        <v>5</v>
      </c>
      <c r="I362" t="s">
        <v>891</v>
      </c>
      <c r="J362" t="s">
        <v>736</v>
      </c>
    </row>
    <row r="363" spans="1:10" x14ac:dyDescent="0.35">
      <c r="A363">
        <v>56115</v>
      </c>
      <c r="B363" t="s">
        <v>149</v>
      </c>
      <c r="C363" t="s">
        <v>892</v>
      </c>
      <c r="D363" t="s">
        <v>552</v>
      </c>
      <c r="E363" t="s">
        <v>152</v>
      </c>
      <c r="G363">
        <v>0</v>
      </c>
      <c r="H363">
        <v>2</v>
      </c>
      <c r="I363" t="s">
        <v>893</v>
      </c>
      <c r="J363" t="s">
        <v>894</v>
      </c>
    </row>
    <row r="364" spans="1:10" x14ac:dyDescent="0.35">
      <c r="A364">
        <v>56127</v>
      </c>
      <c r="B364" t="s">
        <v>149</v>
      </c>
      <c r="C364" t="s">
        <v>895</v>
      </c>
      <c r="D364" t="s">
        <v>293</v>
      </c>
      <c r="E364" t="s">
        <v>152</v>
      </c>
      <c r="G364">
        <v>0</v>
      </c>
      <c r="H364">
        <v>8</v>
      </c>
      <c r="I364" t="s">
        <v>896</v>
      </c>
      <c r="J364" t="s">
        <v>736</v>
      </c>
    </row>
    <row r="365" spans="1:10" x14ac:dyDescent="0.35">
      <c r="A365">
        <v>56142</v>
      </c>
      <c r="B365" t="s">
        <v>149</v>
      </c>
      <c r="C365" t="s">
        <v>897</v>
      </c>
      <c r="D365" t="s">
        <v>555</v>
      </c>
      <c r="E365" t="s">
        <v>152</v>
      </c>
      <c r="G365">
        <v>0</v>
      </c>
      <c r="H365">
        <v>1</v>
      </c>
      <c r="I365" t="s">
        <v>898</v>
      </c>
      <c r="J365" t="s">
        <v>899</v>
      </c>
    </row>
    <row r="366" spans="1:10" x14ac:dyDescent="0.35">
      <c r="A366">
        <v>56178</v>
      </c>
      <c r="B366" t="s">
        <v>149</v>
      </c>
      <c r="C366" t="s">
        <v>900</v>
      </c>
      <c r="D366" t="s">
        <v>429</v>
      </c>
      <c r="E366" t="s">
        <v>152</v>
      </c>
      <c r="G366">
        <v>0</v>
      </c>
      <c r="H366">
        <v>0.5</v>
      </c>
      <c r="I366" t="s">
        <v>901</v>
      </c>
      <c r="J366" t="s">
        <v>538</v>
      </c>
    </row>
    <row r="367" spans="1:10" x14ac:dyDescent="0.35">
      <c r="A367">
        <v>56179</v>
      </c>
      <c r="B367" t="s">
        <v>149</v>
      </c>
      <c r="C367" t="s">
        <v>902</v>
      </c>
      <c r="D367" t="s">
        <v>429</v>
      </c>
      <c r="E367" t="s">
        <v>152</v>
      </c>
      <c r="G367">
        <v>0</v>
      </c>
      <c r="H367">
        <v>0.5</v>
      </c>
      <c r="I367" t="s">
        <v>903</v>
      </c>
      <c r="J367" t="s">
        <v>538</v>
      </c>
    </row>
    <row r="368" spans="1:10" x14ac:dyDescent="0.35">
      <c r="A368">
        <v>56183</v>
      </c>
      <c r="B368" t="s">
        <v>149</v>
      </c>
      <c r="C368" t="s">
        <v>904</v>
      </c>
      <c r="D368" t="s">
        <v>552</v>
      </c>
      <c r="E368" t="s">
        <v>152</v>
      </c>
      <c r="G368">
        <v>0</v>
      </c>
      <c r="H368">
        <v>3</v>
      </c>
      <c r="I368" t="s">
        <v>905</v>
      </c>
      <c r="J368" t="s">
        <v>154</v>
      </c>
    </row>
    <row r="369" spans="1:10" x14ac:dyDescent="0.35">
      <c r="A369">
        <v>56191</v>
      </c>
      <c r="B369" t="s">
        <v>149</v>
      </c>
      <c r="C369" t="s">
        <v>854</v>
      </c>
      <c r="D369" t="s">
        <v>429</v>
      </c>
      <c r="E369" t="s">
        <v>152</v>
      </c>
      <c r="G369">
        <v>0</v>
      </c>
      <c r="H369">
        <v>2</v>
      </c>
      <c r="I369" t="s">
        <v>906</v>
      </c>
      <c r="J369" t="s">
        <v>190</v>
      </c>
    </row>
    <row r="370" spans="1:10" x14ac:dyDescent="0.35">
      <c r="A370">
        <v>56192</v>
      </c>
      <c r="B370" t="s">
        <v>149</v>
      </c>
      <c r="C370" t="s">
        <v>852</v>
      </c>
      <c r="D370" t="s">
        <v>429</v>
      </c>
      <c r="E370" t="s">
        <v>152</v>
      </c>
      <c r="G370">
        <v>0</v>
      </c>
      <c r="H370">
        <v>2.5</v>
      </c>
      <c r="I370" t="s">
        <v>907</v>
      </c>
      <c r="J370" t="s">
        <v>190</v>
      </c>
    </row>
    <row r="371" spans="1:10" x14ac:dyDescent="0.35">
      <c r="A371">
        <v>56193</v>
      </c>
      <c r="B371" t="s">
        <v>149</v>
      </c>
      <c r="C371" t="s">
        <v>908</v>
      </c>
      <c r="D371" t="s">
        <v>429</v>
      </c>
      <c r="E371" t="s">
        <v>152</v>
      </c>
      <c r="G371">
        <v>0</v>
      </c>
      <c r="H371">
        <v>0.5</v>
      </c>
      <c r="I371" t="s">
        <v>909</v>
      </c>
      <c r="J371" t="s">
        <v>525</v>
      </c>
    </row>
    <row r="372" spans="1:10" x14ac:dyDescent="0.35">
      <c r="A372">
        <v>56194</v>
      </c>
      <c r="B372" t="s">
        <v>149</v>
      </c>
      <c r="C372" t="s">
        <v>910</v>
      </c>
      <c r="D372" t="s">
        <v>429</v>
      </c>
      <c r="E372" t="s">
        <v>152</v>
      </c>
      <c r="G372">
        <v>0</v>
      </c>
      <c r="H372">
        <v>2</v>
      </c>
      <c r="I372" t="s">
        <v>911</v>
      </c>
      <c r="J372" t="s">
        <v>525</v>
      </c>
    </row>
    <row r="373" spans="1:10" x14ac:dyDescent="0.35">
      <c r="A373">
        <v>56195</v>
      </c>
      <c r="B373" t="s">
        <v>149</v>
      </c>
      <c r="C373" t="s">
        <v>912</v>
      </c>
      <c r="D373" t="s">
        <v>429</v>
      </c>
      <c r="E373" t="s">
        <v>152</v>
      </c>
      <c r="G373">
        <v>0</v>
      </c>
      <c r="H373">
        <v>0.5</v>
      </c>
      <c r="I373" t="s">
        <v>913</v>
      </c>
      <c r="J373" t="s">
        <v>525</v>
      </c>
    </row>
    <row r="374" spans="1:10" x14ac:dyDescent="0.35">
      <c r="A374">
        <v>56202</v>
      </c>
      <c r="B374" t="s">
        <v>149</v>
      </c>
      <c r="C374" t="s">
        <v>914</v>
      </c>
      <c r="D374" t="s">
        <v>185</v>
      </c>
      <c r="E374" t="s">
        <v>152</v>
      </c>
      <c r="G374">
        <v>0</v>
      </c>
      <c r="H374">
        <v>4</v>
      </c>
      <c r="I374" t="s">
        <v>915</v>
      </c>
      <c r="J374" t="s">
        <v>190</v>
      </c>
    </row>
    <row r="375" spans="1:10" x14ac:dyDescent="0.35">
      <c r="A375">
        <v>56221</v>
      </c>
      <c r="B375" t="s">
        <v>149</v>
      </c>
      <c r="C375" t="s">
        <v>916</v>
      </c>
      <c r="D375" t="s">
        <v>203</v>
      </c>
      <c r="E375" t="s">
        <v>152</v>
      </c>
      <c r="G375">
        <v>0</v>
      </c>
      <c r="H375">
        <v>4</v>
      </c>
      <c r="I375" t="s">
        <v>917</v>
      </c>
      <c r="J375" t="s">
        <v>201</v>
      </c>
    </row>
    <row r="376" spans="1:10" x14ac:dyDescent="0.35">
      <c r="A376">
        <v>56223</v>
      </c>
      <c r="B376" t="s">
        <v>149</v>
      </c>
      <c r="C376" t="s">
        <v>916</v>
      </c>
      <c r="D376" t="s">
        <v>203</v>
      </c>
      <c r="E376" t="s">
        <v>152</v>
      </c>
      <c r="G376">
        <v>0</v>
      </c>
      <c r="H376">
        <v>4</v>
      </c>
      <c r="I376" t="s">
        <v>918</v>
      </c>
      <c r="J376" t="s">
        <v>431</v>
      </c>
    </row>
    <row r="377" spans="1:10" x14ac:dyDescent="0.35">
      <c r="A377">
        <v>56225</v>
      </c>
      <c r="B377" t="s">
        <v>149</v>
      </c>
      <c r="C377" t="s">
        <v>919</v>
      </c>
      <c r="D377" t="s">
        <v>280</v>
      </c>
      <c r="E377" t="s">
        <v>152</v>
      </c>
      <c r="G377">
        <v>0</v>
      </c>
      <c r="H377">
        <v>10</v>
      </c>
      <c r="I377" t="s">
        <v>920</v>
      </c>
      <c r="J377" t="s">
        <v>190</v>
      </c>
    </row>
    <row r="378" spans="1:10" x14ac:dyDescent="0.35">
      <c r="A378">
        <v>56227</v>
      </c>
      <c r="B378" t="s">
        <v>149</v>
      </c>
      <c r="C378" t="s">
        <v>921</v>
      </c>
      <c r="D378" t="s">
        <v>280</v>
      </c>
      <c r="E378" t="s">
        <v>152</v>
      </c>
      <c r="G378">
        <v>0</v>
      </c>
      <c r="H378">
        <v>3</v>
      </c>
      <c r="I378" t="s">
        <v>922</v>
      </c>
      <c r="J378" t="s">
        <v>201</v>
      </c>
    </row>
    <row r="379" spans="1:10" x14ac:dyDescent="0.35">
      <c r="A379">
        <v>56229</v>
      </c>
      <c r="B379" t="s">
        <v>149</v>
      </c>
      <c r="C379" t="s">
        <v>923</v>
      </c>
      <c r="D379" t="s">
        <v>280</v>
      </c>
      <c r="E379" t="s">
        <v>152</v>
      </c>
      <c r="G379">
        <v>0</v>
      </c>
      <c r="H379">
        <v>5</v>
      </c>
      <c r="I379" t="s">
        <v>924</v>
      </c>
      <c r="J379" t="s">
        <v>201</v>
      </c>
    </row>
    <row r="380" spans="1:10" x14ac:dyDescent="0.35">
      <c r="A380">
        <v>56260</v>
      </c>
      <c r="B380" t="s">
        <v>149</v>
      </c>
      <c r="C380" t="s">
        <v>925</v>
      </c>
      <c r="D380" t="s">
        <v>610</v>
      </c>
      <c r="E380" t="s">
        <v>152</v>
      </c>
      <c r="G380">
        <v>0</v>
      </c>
      <c r="H380">
        <v>8</v>
      </c>
      <c r="I380" t="s">
        <v>926</v>
      </c>
      <c r="J380" t="s">
        <v>927</v>
      </c>
    </row>
    <row r="381" spans="1:10" x14ac:dyDescent="0.35">
      <c r="A381">
        <v>56261</v>
      </c>
      <c r="B381" t="s">
        <v>149</v>
      </c>
      <c r="C381" t="s">
        <v>928</v>
      </c>
      <c r="D381" t="s">
        <v>185</v>
      </c>
      <c r="E381" t="s">
        <v>152</v>
      </c>
      <c r="G381">
        <v>1</v>
      </c>
      <c r="H381">
        <v>3</v>
      </c>
      <c r="I381" t="s">
        <v>929</v>
      </c>
      <c r="J381" t="s">
        <v>927</v>
      </c>
    </row>
    <row r="382" spans="1:10" x14ac:dyDescent="0.35">
      <c r="A382">
        <v>56263</v>
      </c>
      <c r="B382" t="s">
        <v>149</v>
      </c>
      <c r="C382" t="s">
        <v>930</v>
      </c>
      <c r="D382" t="s">
        <v>151</v>
      </c>
      <c r="E382" t="s">
        <v>152</v>
      </c>
      <c r="G382">
        <v>0</v>
      </c>
      <c r="H382">
        <v>2</v>
      </c>
      <c r="I382" t="s">
        <v>931</v>
      </c>
      <c r="J382" t="s">
        <v>736</v>
      </c>
    </row>
    <row r="383" spans="1:10" x14ac:dyDescent="0.35">
      <c r="A383">
        <v>56264</v>
      </c>
      <c r="B383" t="s">
        <v>149</v>
      </c>
      <c r="C383" t="s">
        <v>932</v>
      </c>
      <c r="D383" t="s">
        <v>151</v>
      </c>
      <c r="E383" t="s">
        <v>152</v>
      </c>
      <c r="G383">
        <v>0</v>
      </c>
      <c r="H383">
        <v>6</v>
      </c>
      <c r="I383" t="s">
        <v>933</v>
      </c>
      <c r="J383" t="s">
        <v>736</v>
      </c>
    </row>
    <row r="384" spans="1:10" x14ac:dyDescent="0.35">
      <c r="A384">
        <v>56285</v>
      </c>
      <c r="B384" t="s">
        <v>149</v>
      </c>
      <c r="C384" t="s">
        <v>934</v>
      </c>
      <c r="D384" t="s">
        <v>293</v>
      </c>
      <c r="E384" t="s">
        <v>152</v>
      </c>
      <c r="G384">
        <v>0</v>
      </c>
      <c r="H384">
        <v>3</v>
      </c>
      <c r="I384" t="s">
        <v>935</v>
      </c>
      <c r="J384" t="s">
        <v>736</v>
      </c>
    </row>
    <row r="385" spans="1:10" x14ac:dyDescent="0.35">
      <c r="A385">
        <v>56286</v>
      </c>
      <c r="B385" t="s">
        <v>149</v>
      </c>
      <c r="C385" t="s">
        <v>936</v>
      </c>
      <c r="D385" t="s">
        <v>293</v>
      </c>
      <c r="E385" t="s">
        <v>152</v>
      </c>
      <c r="G385">
        <v>0</v>
      </c>
      <c r="H385">
        <v>2</v>
      </c>
      <c r="I385" t="s">
        <v>937</v>
      </c>
      <c r="J385" t="s">
        <v>736</v>
      </c>
    </row>
    <row r="386" spans="1:10" x14ac:dyDescent="0.35">
      <c r="A386">
        <v>56287</v>
      </c>
      <c r="B386" t="s">
        <v>149</v>
      </c>
      <c r="C386" t="s">
        <v>938</v>
      </c>
      <c r="D386" t="s">
        <v>293</v>
      </c>
      <c r="E386" t="s">
        <v>152</v>
      </c>
      <c r="G386">
        <v>0</v>
      </c>
      <c r="H386">
        <v>8</v>
      </c>
      <c r="I386" t="s">
        <v>939</v>
      </c>
      <c r="J386" t="s">
        <v>736</v>
      </c>
    </row>
    <row r="387" spans="1:10" x14ac:dyDescent="0.35">
      <c r="A387">
        <v>56316</v>
      </c>
      <c r="B387" t="s">
        <v>149</v>
      </c>
      <c r="C387" t="s">
        <v>940</v>
      </c>
      <c r="D387" t="s">
        <v>552</v>
      </c>
      <c r="E387" t="s">
        <v>152</v>
      </c>
      <c r="G387">
        <v>0</v>
      </c>
      <c r="H387">
        <v>2</v>
      </c>
      <c r="I387" t="s">
        <v>941</v>
      </c>
      <c r="J387" t="s">
        <v>899</v>
      </c>
    </row>
    <row r="388" spans="1:10" x14ac:dyDescent="0.35">
      <c r="A388">
        <v>56354</v>
      </c>
      <c r="B388" t="s">
        <v>149</v>
      </c>
      <c r="C388" t="s">
        <v>942</v>
      </c>
      <c r="D388" t="s">
        <v>555</v>
      </c>
      <c r="E388" t="s">
        <v>152</v>
      </c>
      <c r="G388">
        <v>0</v>
      </c>
      <c r="H388">
        <v>1</v>
      </c>
      <c r="I388" t="s">
        <v>943</v>
      </c>
      <c r="J388" t="s">
        <v>899</v>
      </c>
    </row>
    <row r="389" spans="1:10" x14ac:dyDescent="0.35">
      <c r="A389">
        <v>56373</v>
      </c>
      <c r="B389" t="s">
        <v>149</v>
      </c>
      <c r="C389" t="s">
        <v>944</v>
      </c>
      <c r="D389" t="s">
        <v>945</v>
      </c>
      <c r="E389" t="s">
        <v>152</v>
      </c>
      <c r="G389">
        <v>0</v>
      </c>
      <c r="H389">
        <v>4</v>
      </c>
      <c r="I389" t="s">
        <v>946</v>
      </c>
      <c r="J389" t="s">
        <v>947</v>
      </c>
    </row>
    <row r="390" spans="1:10" x14ac:dyDescent="0.35">
      <c r="A390">
        <v>56382</v>
      </c>
      <c r="B390" t="s">
        <v>149</v>
      </c>
      <c r="C390" t="s">
        <v>948</v>
      </c>
      <c r="D390" t="s">
        <v>945</v>
      </c>
      <c r="E390" t="s">
        <v>152</v>
      </c>
      <c r="G390">
        <v>0</v>
      </c>
      <c r="H390">
        <v>4</v>
      </c>
      <c r="I390" t="s">
        <v>949</v>
      </c>
      <c r="J390" t="s">
        <v>947</v>
      </c>
    </row>
    <row r="391" spans="1:10" x14ac:dyDescent="0.35">
      <c r="A391">
        <v>56391</v>
      </c>
      <c r="B391" t="s">
        <v>149</v>
      </c>
      <c r="C391" t="s">
        <v>950</v>
      </c>
      <c r="D391" t="s">
        <v>945</v>
      </c>
      <c r="E391" t="s">
        <v>152</v>
      </c>
      <c r="G391">
        <v>0</v>
      </c>
      <c r="H391">
        <v>4</v>
      </c>
      <c r="I391" t="s">
        <v>951</v>
      </c>
      <c r="J391" t="s">
        <v>947</v>
      </c>
    </row>
    <row r="392" spans="1:10" x14ac:dyDescent="0.35">
      <c r="A392">
        <v>56393</v>
      </c>
      <c r="B392" t="s">
        <v>149</v>
      </c>
      <c r="C392" t="s">
        <v>952</v>
      </c>
      <c r="D392" t="s">
        <v>610</v>
      </c>
      <c r="E392" t="s">
        <v>152</v>
      </c>
      <c r="G392">
        <v>0</v>
      </c>
      <c r="H392">
        <v>8</v>
      </c>
      <c r="I392" t="s">
        <v>953</v>
      </c>
      <c r="J392" t="s">
        <v>927</v>
      </c>
    </row>
    <row r="393" spans="1:10" x14ac:dyDescent="0.35">
      <c r="A393">
        <v>56395</v>
      </c>
      <c r="B393" t="s">
        <v>149</v>
      </c>
      <c r="C393" t="s">
        <v>954</v>
      </c>
      <c r="D393" t="s">
        <v>429</v>
      </c>
      <c r="E393" t="s">
        <v>152</v>
      </c>
      <c r="G393">
        <v>0</v>
      </c>
      <c r="H393">
        <v>1</v>
      </c>
      <c r="I393" t="s">
        <v>955</v>
      </c>
      <c r="J393" t="s">
        <v>538</v>
      </c>
    </row>
    <row r="394" spans="1:10" x14ac:dyDescent="0.35">
      <c r="A394">
        <v>56396</v>
      </c>
      <c r="B394" t="s">
        <v>149</v>
      </c>
      <c r="C394" t="s">
        <v>956</v>
      </c>
      <c r="D394" t="s">
        <v>610</v>
      </c>
      <c r="E394" t="s">
        <v>152</v>
      </c>
      <c r="G394">
        <v>0</v>
      </c>
      <c r="H394">
        <v>8</v>
      </c>
      <c r="I394" t="s">
        <v>957</v>
      </c>
      <c r="J394" t="s">
        <v>927</v>
      </c>
    </row>
    <row r="395" spans="1:10" x14ac:dyDescent="0.35">
      <c r="A395">
        <v>56398</v>
      </c>
      <c r="B395" t="s">
        <v>149</v>
      </c>
      <c r="C395" t="s">
        <v>958</v>
      </c>
      <c r="D395" t="s">
        <v>610</v>
      </c>
      <c r="E395" t="s">
        <v>152</v>
      </c>
      <c r="G395">
        <v>0</v>
      </c>
      <c r="H395">
        <v>8</v>
      </c>
      <c r="I395" t="s">
        <v>959</v>
      </c>
      <c r="J395" t="s">
        <v>927</v>
      </c>
    </row>
    <row r="396" spans="1:10" x14ac:dyDescent="0.35">
      <c r="A396">
        <v>56399</v>
      </c>
      <c r="B396" t="s">
        <v>149</v>
      </c>
      <c r="C396" t="s">
        <v>900</v>
      </c>
      <c r="D396" t="s">
        <v>429</v>
      </c>
      <c r="E396" t="s">
        <v>152</v>
      </c>
      <c r="G396">
        <v>0</v>
      </c>
      <c r="H396">
        <v>0.5</v>
      </c>
      <c r="I396" t="s">
        <v>960</v>
      </c>
      <c r="J396" t="s">
        <v>538</v>
      </c>
    </row>
    <row r="397" spans="1:10" x14ac:dyDescent="0.35">
      <c r="A397">
        <v>56400</v>
      </c>
      <c r="B397" t="s">
        <v>149</v>
      </c>
      <c r="C397" t="s">
        <v>902</v>
      </c>
      <c r="D397" t="s">
        <v>429</v>
      </c>
      <c r="E397" t="s">
        <v>152</v>
      </c>
      <c r="G397">
        <v>0</v>
      </c>
      <c r="H397">
        <v>0.5</v>
      </c>
      <c r="I397" t="s">
        <v>961</v>
      </c>
      <c r="J397" t="s">
        <v>538</v>
      </c>
    </row>
    <row r="398" spans="1:10" x14ac:dyDescent="0.35">
      <c r="A398">
        <v>56401</v>
      </c>
      <c r="B398" t="s">
        <v>149</v>
      </c>
      <c r="C398" t="s">
        <v>962</v>
      </c>
      <c r="D398" t="s">
        <v>610</v>
      </c>
      <c r="E398" t="s">
        <v>152</v>
      </c>
      <c r="G398">
        <v>0</v>
      </c>
      <c r="H398">
        <v>6</v>
      </c>
      <c r="I398" t="s">
        <v>963</v>
      </c>
      <c r="J398" t="s">
        <v>927</v>
      </c>
    </row>
    <row r="399" spans="1:10" x14ac:dyDescent="0.35">
      <c r="A399">
        <v>56407</v>
      </c>
      <c r="B399" t="s">
        <v>149</v>
      </c>
      <c r="C399" t="s">
        <v>964</v>
      </c>
      <c r="D399" t="s">
        <v>185</v>
      </c>
      <c r="E399" t="s">
        <v>152</v>
      </c>
      <c r="G399">
        <v>0</v>
      </c>
      <c r="H399">
        <v>3</v>
      </c>
      <c r="I399" t="s">
        <v>965</v>
      </c>
      <c r="J399" t="s">
        <v>927</v>
      </c>
    </row>
    <row r="400" spans="1:10" x14ac:dyDescent="0.35">
      <c r="A400">
        <v>56409</v>
      </c>
      <c r="B400" t="s">
        <v>149</v>
      </c>
      <c r="C400" t="s">
        <v>966</v>
      </c>
      <c r="D400" t="s">
        <v>185</v>
      </c>
      <c r="E400" t="s">
        <v>152</v>
      </c>
      <c r="G400">
        <v>0</v>
      </c>
      <c r="H400">
        <v>5</v>
      </c>
      <c r="I400" t="s">
        <v>967</v>
      </c>
      <c r="J400" t="s">
        <v>927</v>
      </c>
    </row>
    <row r="401" spans="1:10" x14ac:dyDescent="0.35">
      <c r="A401">
        <v>56410</v>
      </c>
      <c r="B401" t="s">
        <v>149</v>
      </c>
      <c r="C401" t="s">
        <v>968</v>
      </c>
      <c r="D401" t="s">
        <v>185</v>
      </c>
      <c r="E401" t="s">
        <v>152</v>
      </c>
      <c r="G401">
        <v>1</v>
      </c>
      <c r="H401">
        <v>3</v>
      </c>
      <c r="I401" t="s">
        <v>969</v>
      </c>
      <c r="J401" t="s">
        <v>927</v>
      </c>
    </row>
    <row r="402" spans="1:10" x14ac:dyDescent="0.35">
      <c r="A402">
        <v>56411</v>
      </c>
      <c r="B402" t="s">
        <v>149</v>
      </c>
      <c r="C402" t="s">
        <v>970</v>
      </c>
      <c r="D402" t="s">
        <v>185</v>
      </c>
      <c r="E402" t="s">
        <v>152</v>
      </c>
      <c r="G402">
        <v>1</v>
      </c>
      <c r="H402">
        <v>3</v>
      </c>
      <c r="I402" t="s">
        <v>971</v>
      </c>
      <c r="J402" t="s">
        <v>927</v>
      </c>
    </row>
    <row r="403" spans="1:10" x14ac:dyDescent="0.35">
      <c r="A403">
        <v>56423</v>
      </c>
      <c r="B403" t="s">
        <v>149</v>
      </c>
      <c r="C403" t="s">
        <v>972</v>
      </c>
      <c r="D403" t="s">
        <v>555</v>
      </c>
      <c r="E403" t="s">
        <v>152</v>
      </c>
      <c r="G403">
        <v>0</v>
      </c>
      <c r="H403">
        <v>4</v>
      </c>
      <c r="I403" t="s">
        <v>973</v>
      </c>
      <c r="J403" t="s">
        <v>927</v>
      </c>
    </row>
    <row r="404" spans="1:10" x14ac:dyDescent="0.35">
      <c r="A404">
        <v>56424</v>
      </c>
      <c r="B404" t="s">
        <v>149</v>
      </c>
      <c r="C404" t="s">
        <v>974</v>
      </c>
      <c r="D404" t="s">
        <v>170</v>
      </c>
      <c r="E404" t="s">
        <v>152</v>
      </c>
      <c r="G404">
        <v>0</v>
      </c>
      <c r="H404">
        <v>3</v>
      </c>
      <c r="I404" t="s">
        <v>975</v>
      </c>
      <c r="J404" t="s">
        <v>927</v>
      </c>
    </row>
    <row r="405" spans="1:10" x14ac:dyDescent="0.35">
      <c r="A405">
        <v>56426</v>
      </c>
      <c r="B405" t="s">
        <v>149</v>
      </c>
      <c r="C405" t="s">
        <v>976</v>
      </c>
      <c r="D405" t="s">
        <v>280</v>
      </c>
      <c r="E405" t="s">
        <v>152</v>
      </c>
      <c r="G405">
        <v>0</v>
      </c>
      <c r="H405">
        <v>2</v>
      </c>
      <c r="I405" t="s">
        <v>977</v>
      </c>
      <c r="J405" t="s">
        <v>927</v>
      </c>
    </row>
    <row r="406" spans="1:10" x14ac:dyDescent="0.35">
      <c r="A406">
        <v>56439</v>
      </c>
      <c r="B406" t="s">
        <v>149</v>
      </c>
      <c r="C406" t="s">
        <v>978</v>
      </c>
      <c r="D406" t="s">
        <v>945</v>
      </c>
      <c r="E406" t="s">
        <v>152</v>
      </c>
      <c r="G406">
        <v>0</v>
      </c>
      <c r="H406">
        <v>4</v>
      </c>
      <c r="I406" t="s">
        <v>979</v>
      </c>
      <c r="J406" t="s">
        <v>947</v>
      </c>
    </row>
    <row r="407" spans="1:10" x14ac:dyDescent="0.35">
      <c r="A407">
        <v>56448</v>
      </c>
      <c r="B407" t="s">
        <v>149</v>
      </c>
      <c r="C407" t="s">
        <v>980</v>
      </c>
      <c r="D407" t="s">
        <v>945</v>
      </c>
      <c r="E407" t="s">
        <v>152</v>
      </c>
      <c r="G407">
        <v>0</v>
      </c>
      <c r="H407">
        <v>4</v>
      </c>
      <c r="I407" t="s">
        <v>981</v>
      </c>
      <c r="J407" t="s">
        <v>947</v>
      </c>
    </row>
    <row r="408" spans="1:10" x14ac:dyDescent="0.35">
      <c r="A408">
        <v>56457</v>
      </c>
      <c r="B408" t="s">
        <v>149</v>
      </c>
      <c r="C408" t="s">
        <v>982</v>
      </c>
      <c r="D408" t="s">
        <v>945</v>
      </c>
      <c r="E408" t="s">
        <v>152</v>
      </c>
      <c r="G408">
        <v>0</v>
      </c>
      <c r="H408">
        <v>4</v>
      </c>
      <c r="I408" t="s">
        <v>983</v>
      </c>
      <c r="J408" t="s">
        <v>947</v>
      </c>
    </row>
    <row r="409" spans="1:10" x14ac:dyDescent="0.35">
      <c r="A409">
        <v>56466</v>
      </c>
      <c r="B409" t="s">
        <v>149</v>
      </c>
      <c r="C409" t="s">
        <v>984</v>
      </c>
      <c r="D409" t="s">
        <v>945</v>
      </c>
      <c r="E409" t="s">
        <v>152</v>
      </c>
      <c r="G409">
        <v>0</v>
      </c>
      <c r="H409">
        <v>4</v>
      </c>
      <c r="I409" t="s">
        <v>985</v>
      </c>
      <c r="J409" t="s">
        <v>947</v>
      </c>
    </row>
    <row r="410" spans="1:10" x14ac:dyDescent="0.35">
      <c r="A410">
        <v>56475</v>
      </c>
      <c r="B410" t="s">
        <v>149</v>
      </c>
      <c r="C410" t="s">
        <v>986</v>
      </c>
      <c r="D410" t="s">
        <v>945</v>
      </c>
      <c r="E410" t="s">
        <v>152</v>
      </c>
      <c r="G410">
        <v>1</v>
      </c>
      <c r="H410">
        <v>1</v>
      </c>
      <c r="I410" t="s">
        <v>987</v>
      </c>
      <c r="J410" t="s">
        <v>988</v>
      </c>
    </row>
    <row r="411" spans="1:10" x14ac:dyDescent="0.35">
      <c r="A411">
        <v>56484</v>
      </c>
      <c r="B411" t="s">
        <v>149</v>
      </c>
      <c r="C411" t="s">
        <v>989</v>
      </c>
      <c r="D411" t="s">
        <v>945</v>
      </c>
      <c r="E411" t="s">
        <v>152</v>
      </c>
      <c r="G411">
        <v>1</v>
      </c>
      <c r="H411">
        <v>1</v>
      </c>
      <c r="I411" t="s">
        <v>990</v>
      </c>
      <c r="J411" t="s">
        <v>988</v>
      </c>
    </row>
    <row r="412" spans="1:10" x14ac:dyDescent="0.35">
      <c r="A412">
        <v>56493</v>
      </c>
      <c r="B412" t="s">
        <v>149</v>
      </c>
      <c r="C412" t="s">
        <v>991</v>
      </c>
      <c r="D412" t="s">
        <v>945</v>
      </c>
      <c r="E412" t="s">
        <v>152</v>
      </c>
      <c r="G412">
        <v>1</v>
      </c>
      <c r="H412">
        <v>1</v>
      </c>
      <c r="I412" t="s">
        <v>992</v>
      </c>
      <c r="J412" t="s">
        <v>988</v>
      </c>
    </row>
    <row r="413" spans="1:10" x14ac:dyDescent="0.35">
      <c r="A413">
        <v>56502</v>
      </c>
      <c r="B413" t="s">
        <v>149</v>
      </c>
      <c r="C413" t="s">
        <v>993</v>
      </c>
      <c r="D413" t="s">
        <v>945</v>
      </c>
      <c r="E413" t="s">
        <v>152</v>
      </c>
      <c r="G413">
        <v>0</v>
      </c>
      <c r="H413">
        <v>4</v>
      </c>
      <c r="I413" t="s">
        <v>994</v>
      </c>
      <c r="J413" t="s">
        <v>995</v>
      </c>
    </row>
    <row r="414" spans="1:10" x14ac:dyDescent="0.35">
      <c r="A414">
        <v>56511</v>
      </c>
      <c r="B414" t="s">
        <v>149</v>
      </c>
      <c r="C414" t="s">
        <v>996</v>
      </c>
      <c r="D414" t="s">
        <v>945</v>
      </c>
      <c r="E414" t="s">
        <v>152</v>
      </c>
      <c r="G414">
        <v>0</v>
      </c>
      <c r="H414">
        <v>4</v>
      </c>
      <c r="I414" t="s">
        <v>997</v>
      </c>
      <c r="J414" t="s">
        <v>998</v>
      </c>
    </row>
    <row r="415" spans="1:10" x14ac:dyDescent="0.35">
      <c r="A415">
        <v>56520</v>
      </c>
      <c r="B415" t="s">
        <v>149</v>
      </c>
      <c r="C415" t="s">
        <v>999</v>
      </c>
      <c r="D415" t="s">
        <v>945</v>
      </c>
      <c r="E415" t="s">
        <v>152</v>
      </c>
      <c r="G415">
        <v>0</v>
      </c>
      <c r="H415">
        <v>4</v>
      </c>
      <c r="I415" t="s">
        <v>1000</v>
      </c>
      <c r="J415" t="s">
        <v>998</v>
      </c>
    </row>
    <row r="416" spans="1:10" x14ac:dyDescent="0.35">
      <c r="A416">
        <v>56529</v>
      </c>
      <c r="B416" t="s">
        <v>149</v>
      </c>
      <c r="C416" t="s">
        <v>1001</v>
      </c>
      <c r="D416" t="s">
        <v>945</v>
      </c>
      <c r="E416" t="s">
        <v>152</v>
      </c>
      <c r="G416">
        <v>0</v>
      </c>
      <c r="H416">
        <v>4</v>
      </c>
      <c r="I416" t="s">
        <v>1002</v>
      </c>
      <c r="J416" t="s">
        <v>998</v>
      </c>
    </row>
    <row r="417" spans="1:10" x14ac:dyDescent="0.35">
      <c r="A417">
        <v>56538</v>
      </c>
      <c r="B417" t="s">
        <v>149</v>
      </c>
      <c r="C417" t="s">
        <v>1003</v>
      </c>
      <c r="D417" t="s">
        <v>945</v>
      </c>
      <c r="E417" t="s">
        <v>152</v>
      </c>
      <c r="G417">
        <v>0</v>
      </c>
      <c r="H417">
        <v>4</v>
      </c>
      <c r="I417" t="s">
        <v>1004</v>
      </c>
      <c r="J417" t="s">
        <v>998</v>
      </c>
    </row>
    <row r="418" spans="1:10" x14ac:dyDescent="0.35">
      <c r="A418">
        <v>56547</v>
      </c>
      <c r="B418" t="s">
        <v>149</v>
      </c>
      <c r="C418" t="s">
        <v>1005</v>
      </c>
      <c r="D418" t="s">
        <v>945</v>
      </c>
      <c r="E418" t="s">
        <v>152</v>
      </c>
      <c r="G418">
        <v>0</v>
      </c>
      <c r="H418">
        <v>4</v>
      </c>
      <c r="I418" t="s">
        <v>1006</v>
      </c>
      <c r="J418" t="s">
        <v>998</v>
      </c>
    </row>
    <row r="419" spans="1:10" x14ac:dyDescent="0.35">
      <c r="A419">
        <v>56556</v>
      </c>
      <c r="B419" t="s">
        <v>149</v>
      </c>
      <c r="C419" t="s">
        <v>1007</v>
      </c>
      <c r="D419" t="s">
        <v>945</v>
      </c>
      <c r="E419" t="s">
        <v>152</v>
      </c>
      <c r="G419">
        <v>0</v>
      </c>
      <c r="H419">
        <v>4</v>
      </c>
      <c r="I419" t="s">
        <v>1008</v>
      </c>
      <c r="J419" t="s">
        <v>998</v>
      </c>
    </row>
    <row r="420" spans="1:10" x14ac:dyDescent="0.35">
      <c r="A420">
        <v>56565</v>
      </c>
      <c r="B420" t="s">
        <v>149</v>
      </c>
      <c r="C420" t="s">
        <v>1009</v>
      </c>
      <c r="D420" t="s">
        <v>945</v>
      </c>
      <c r="E420" t="s">
        <v>152</v>
      </c>
      <c r="G420">
        <v>0</v>
      </c>
      <c r="H420">
        <v>4</v>
      </c>
      <c r="I420" t="s">
        <v>1010</v>
      </c>
      <c r="J420" t="s">
        <v>998</v>
      </c>
    </row>
    <row r="421" spans="1:10" x14ac:dyDescent="0.35">
      <c r="A421">
        <v>56574</v>
      </c>
      <c r="B421" t="s">
        <v>149</v>
      </c>
      <c r="C421" t="s">
        <v>1011</v>
      </c>
      <c r="D421" t="s">
        <v>945</v>
      </c>
      <c r="E421" t="s">
        <v>152</v>
      </c>
      <c r="G421">
        <v>0</v>
      </c>
      <c r="H421">
        <v>4</v>
      </c>
      <c r="I421" t="s">
        <v>1012</v>
      </c>
      <c r="J421" t="s">
        <v>998</v>
      </c>
    </row>
    <row r="422" spans="1:10" x14ac:dyDescent="0.35">
      <c r="A422">
        <v>56583</v>
      </c>
      <c r="B422" t="s">
        <v>149</v>
      </c>
      <c r="C422" t="s">
        <v>1013</v>
      </c>
      <c r="D422" t="s">
        <v>945</v>
      </c>
      <c r="E422" t="s">
        <v>152</v>
      </c>
      <c r="G422">
        <v>0</v>
      </c>
      <c r="H422">
        <v>4</v>
      </c>
      <c r="I422" t="s">
        <v>1014</v>
      </c>
      <c r="J422" t="s">
        <v>998</v>
      </c>
    </row>
    <row r="423" spans="1:10" x14ac:dyDescent="0.35">
      <c r="A423">
        <v>56591</v>
      </c>
      <c r="B423" t="s">
        <v>149</v>
      </c>
      <c r="C423" t="s">
        <v>1015</v>
      </c>
      <c r="D423" t="s">
        <v>945</v>
      </c>
      <c r="E423" t="s">
        <v>152</v>
      </c>
      <c r="G423">
        <v>0</v>
      </c>
      <c r="H423">
        <v>4</v>
      </c>
      <c r="I423" t="s">
        <v>1016</v>
      </c>
      <c r="J423" t="s">
        <v>998</v>
      </c>
    </row>
    <row r="424" spans="1:10" x14ac:dyDescent="0.35">
      <c r="A424">
        <v>56601</v>
      </c>
      <c r="B424" t="s">
        <v>149</v>
      </c>
      <c r="C424" t="s">
        <v>1017</v>
      </c>
      <c r="D424" t="s">
        <v>945</v>
      </c>
      <c r="E424" t="s">
        <v>152</v>
      </c>
      <c r="G424">
        <v>0</v>
      </c>
      <c r="H424">
        <v>4</v>
      </c>
      <c r="I424" t="s">
        <v>1018</v>
      </c>
      <c r="J424" t="s">
        <v>998</v>
      </c>
    </row>
    <row r="425" spans="1:10" x14ac:dyDescent="0.35">
      <c r="A425">
        <v>56615</v>
      </c>
      <c r="B425" t="s">
        <v>149</v>
      </c>
      <c r="C425" t="s">
        <v>1019</v>
      </c>
      <c r="D425" t="s">
        <v>945</v>
      </c>
      <c r="E425" t="s">
        <v>152</v>
      </c>
      <c r="G425">
        <v>0</v>
      </c>
      <c r="H425">
        <v>4</v>
      </c>
      <c r="I425" t="s">
        <v>1020</v>
      </c>
      <c r="J425" t="s">
        <v>998</v>
      </c>
    </row>
    <row r="426" spans="1:10" x14ac:dyDescent="0.35">
      <c r="A426">
        <v>56623</v>
      </c>
      <c r="B426" t="s">
        <v>149</v>
      </c>
      <c r="C426" t="s">
        <v>1021</v>
      </c>
      <c r="D426" t="s">
        <v>945</v>
      </c>
      <c r="E426" t="s">
        <v>152</v>
      </c>
      <c r="G426">
        <v>0</v>
      </c>
      <c r="H426">
        <v>4</v>
      </c>
      <c r="I426" t="s">
        <v>1022</v>
      </c>
      <c r="J426" t="s">
        <v>995</v>
      </c>
    </row>
    <row r="427" spans="1:10" x14ac:dyDescent="0.35">
      <c r="A427">
        <v>56627</v>
      </c>
      <c r="B427" t="s">
        <v>149</v>
      </c>
      <c r="C427" t="s">
        <v>1023</v>
      </c>
      <c r="D427" t="s">
        <v>945</v>
      </c>
      <c r="E427" t="s">
        <v>152</v>
      </c>
      <c r="G427">
        <v>0</v>
      </c>
      <c r="H427">
        <v>3</v>
      </c>
      <c r="I427" t="s">
        <v>1024</v>
      </c>
      <c r="J427" t="s">
        <v>995</v>
      </c>
    </row>
    <row r="428" spans="1:10" x14ac:dyDescent="0.35">
      <c r="A428">
        <v>56631</v>
      </c>
      <c r="B428" t="s">
        <v>149</v>
      </c>
      <c r="C428" t="s">
        <v>1025</v>
      </c>
      <c r="D428" t="s">
        <v>552</v>
      </c>
      <c r="E428" t="s">
        <v>152</v>
      </c>
      <c r="G428">
        <v>0</v>
      </c>
      <c r="H428">
        <v>2</v>
      </c>
      <c r="I428" t="s">
        <v>1026</v>
      </c>
      <c r="J428" t="s">
        <v>736</v>
      </c>
    </row>
    <row r="429" spans="1:10" x14ac:dyDescent="0.35">
      <c r="A429">
        <v>56641</v>
      </c>
      <c r="B429" t="s">
        <v>149</v>
      </c>
      <c r="C429" t="s">
        <v>1027</v>
      </c>
      <c r="D429" t="s">
        <v>945</v>
      </c>
      <c r="E429" t="s">
        <v>152</v>
      </c>
      <c r="G429">
        <v>1</v>
      </c>
      <c r="H429">
        <v>1</v>
      </c>
      <c r="I429" t="s">
        <v>1028</v>
      </c>
      <c r="J429" t="s">
        <v>988</v>
      </c>
    </row>
    <row r="430" spans="1:10" x14ac:dyDescent="0.35">
      <c r="A430">
        <v>56669</v>
      </c>
      <c r="B430" t="s">
        <v>149</v>
      </c>
      <c r="C430" t="s">
        <v>1029</v>
      </c>
      <c r="D430" t="s">
        <v>945</v>
      </c>
      <c r="E430" t="s">
        <v>152</v>
      </c>
      <c r="G430">
        <v>1</v>
      </c>
      <c r="H430">
        <v>1</v>
      </c>
      <c r="I430" t="s">
        <v>1030</v>
      </c>
      <c r="J430" t="s">
        <v>172</v>
      </c>
    </row>
    <row r="431" spans="1:10" x14ac:dyDescent="0.35">
      <c r="A431">
        <v>56679</v>
      </c>
      <c r="B431" t="s">
        <v>149</v>
      </c>
      <c r="C431" t="s">
        <v>1031</v>
      </c>
      <c r="D431" t="s">
        <v>945</v>
      </c>
      <c r="E431" t="s">
        <v>152</v>
      </c>
      <c r="G431">
        <v>1</v>
      </c>
      <c r="H431">
        <v>1</v>
      </c>
      <c r="I431" t="s">
        <v>1032</v>
      </c>
      <c r="J431" t="s">
        <v>172</v>
      </c>
    </row>
    <row r="432" spans="1:10" x14ac:dyDescent="0.35">
      <c r="A432">
        <v>56693</v>
      </c>
      <c r="B432" t="s">
        <v>149</v>
      </c>
      <c r="C432" t="s">
        <v>1033</v>
      </c>
      <c r="D432" t="s">
        <v>945</v>
      </c>
      <c r="E432" t="s">
        <v>152</v>
      </c>
      <c r="G432">
        <v>1</v>
      </c>
      <c r="H432">
        <v>1</v>
      </c>
      <c r="I432" t="s">
        <v>1034</v>
      </c>
      <c r="J432" t="s">
        <v>172</v>
      </c>
    </row>
    <row r="433" spans="1:10" x14ac:dyDescent="0.35">
      <c r="A433">
        <v>56702</v>
      </c>
      <c r="B433" t="s">
        <v>149</v>
      </c>
      <c r="C433" t="s">
        <v>1035</v>
      </c>
      <c r="D433" t="s">
        <v>945</v>
      </c>
      <c r="E433" t="s">
        <v>152</v>
      </c>
      <c r="G433">
        <v>1</v>
      </c>
      <c r="H433">
        <v>2</v>
      </c>
      <c r="I433" t="s">
        <v>1036</v>
      </c>
      <c r="J433" t="s">
        <v>172</v>
      </c>
    </row>
    <row r="434" spans="1:10" x14ac:dyDescent="0.35">
      <c r="A434">
        <v>56706</v>
      </c>
      <c r="B434" t="s">
        <v>149</v>
      </c>
      <c r="C434" t="s">
        <v>188</v>
      </c>
      <c r="D434" t="s">
        <v>185</v>
      </c>
      <c r="E434" t="s">
        <v>152</v>
      </c>
      <c r="G434">
        <v>1</v>
      </c>
      <c r="H434">
        <v>4</v>
      </c>
      <c r="I434" t="s">
        <v>1037</v>
      </c>
      <c r="J434" t="s">
        <v>190</v>
      </c>
    </row>
    <row r="435" spans="1:10" x14ac:dyDescent="0.35">
      <c r="A435">
        <v>56707</v>
      </c>
      <c r="B435" t="s">
        <v>149</v>
      </c>
      <c r="C435" t="s">
        <v>188</v>
      </c>
      <c r="D435" t="s">
        <v>185</v>
      </c>
      <c r="E435" t="s">
        <v>152</v>
      </c>
      <c r="G435">
        <v>0</v>
      </c>
      <c r="H435">
        <v>4</v>
      </c>
      <c r="I435" t="s">
        <v>1038</v>
      </c>
      <c r="J435" t="s">
        <v>190</v>
      </c>
    </row>
    <row r="436" spans="1:10" x14ac:dyDescent="0.35">
      <c r="A436">
        <v>56717</v>
      </c>
      <c r="B436" t="s">
        <v>149</v>
      </c>
      <c r="C436" t="s">
        <v>1039</v>
      </c>
      <c r="D436" t="s">
        <v>338</v>
      </c>
      <c r="E436" t="s">
        <v>152</v>
      </c>
      <c r="G436">
        <v>0</v>
      </c>
      <c r="H436">
        <v>104</v>
      </c>
      <c r="I436" t="s">
        <v>1040</v>
      </c>
      <c r="J436" t="s">
        <v>1041</v>
      </c>
    </row>
    <row r="437" spans="1:10" x14ac:dyDescent="0.35">
      <c r="A437">
        <v>56722</v>
      </c>
      <c r="B437" t="s">
        <v>149</v>
      </c>
      <c r="C437" t="s">
        <v>1042</v>
      </c>
      <c r="D437" t="s">
        <v>338</v>
      </c>
      <c r="E437" t="s">
        <v>152</v>
      </c>
      <c r="G437">
        <v>1</v>
      </c>
      <c r="H437">
        <v>13</v>
      </c>
      <c r="I437" t="s">
        <v>1043</v>
      </c>
      <c r="J437" t="s">
        <v>1041</v>
      </c>
    </row>
    <row r="438" spans="1:10" x14ac:dyDescent="0.35">
      <c r="A438">
        <v>56734</v>
      </c>
      <c r="B438" t="s">
        <v>149</v>
      </c>
      <c r="C438" t="s">
        <v>1044</v>
      </c>
      <c r="D438" t="s">
        <v>555</v>
      </c>
      <c r="E438" t="s">
        <v>152</v>
      </c>
      <c r="G438">
        <v>0</v>
      </c>
      <c r="H438">
        <v>4</v>
      </c>
      <c r="I438" t="s">
        <v>1045</v>
      </c>
      <c r="J438" t="s">
        <v>736</v>
      </c>
    </row>
    <row r="439" spans="1:10" x14ac:dyDescent="0.35">
      <c r="A439">
        <v>56740</v>
      </c>
      <c r="B439" t="s">
        <v>149</v>
      </c>
      <c r="C439" t="s">
        <v>1046</v>
      </c>
      <c r="D439" t="s">
        <v>555</v>
      </c>
      <c r="E439" t="s">
        <v>152</v>
      </c>
      <c r="G439">
        <v>0</v>
      </c>
      <c r="H439">
        <v>4</v>
      </c>
      <c r="I439" t="s">
        <v>1047</v>
      </c>
      <c r="J439" t="s">
        <v>736</v>
      </c>
    </row>
    <row r="440" spans="1:10" x14ac:dyDescent="0.35">
      <c r="A440">
        <v>56760</v>
      </c>
      <c r="B440" t="s">
        <v>149</v>
      </c>
      <c r="C440" t="s">
        <v>1048</v>
      </c>
      <c r="D440" t="s">
        <v>176</v>
      </c>
      <c r="E440" t="s">
        <v>152</v>
      </c>
      <c r="G440">
        <v>0</v>
      </c>
      <c r="H440">
        <v>5</v>
      </c>
      <c r="I440" t="s">
        <v>1049</v>
      </c>
      <c r="J440" t="s">
        <v>736</v>
      </c>
    </row>
    <row r="441" spans="1:10" x14ac:dyDescent="0.35">
      <c r="A441">
        <v>56762</v>
      </c>
      <c r="B441" t="s">
        <v>149</v>
      </c>
      <c r="C441" t="s">
        <v>1050</v>
      </c>
      <c r="D441" t="s">
        <v>293</v>
      </c>
      <c r="E441" t="s">
        <v>152</v>
      </c>
      <c r="G441">
        <v>0</v>
      </c>
      <c r="H441">
        <v>2</v>
      </c>
      <c r="I441" t="s">
        <v>1051</v>
      </c>
      <c r="J441" t="s">
        <v>736</v>
      </c>
    </row>
    <row r="442" spans="1:10" x14ac:dyDescent="0.35">
      <c r="A442">
        <v>56763</v>
      </c>
      <c r="B442" t="s">
        <v>149</v>
      </c>
      <c r="C442" t="s">
        <v>1052</v>
      </c>
      <c r="D442" t="s">
        <v>176</v>
      </c>
      <c r="E442" t="s">
        <v>152</v>
      </c>
      <c r="G442">
        <v>0</v>
      </c>
      <c r="H442">
        <v>4</v>
      </c>
      <c r="I442" t="s">
        <v>1053</v>
      </c>
      <c r="J442" t="s">
        <v>736</v>
      </c>
    </row>
    <row r="443" spans="1:10" x14ac:dyDescent="0.35">
      <c r="A443">
        <v>56771</v>
      </c>
      <c r="B443" t="s">
        <v>149</v>
      </c>
      <c r="C443" t="s">
        <v>1054</v>
      </c>
      <c r="D443" t="s">
        <v>185</v>
      </c>
      <c r="E443" t="s">
        <v>152</v>
      </c>
      <c r="G443">
        <v>0</v>
      </c>
      <c r="H443">
        <v>3</v>
      </c>
      <c r="I443" t="s">
        <v>1055</v>
      </c>
      <c r="J443" t="s">
        <v>1056</v>
      </c>
    </row>
    <row r="444" spans="1:10" x14ac:dyDescent="0.35">
      <c r="A444">
        <v>56797</v>
      </c>
      <c r="B444" t="s">
        <v>149</v>
      </c>
      <c r="C444" t="s">
        <v>1057</v>
      </c>
      <c r="D444" t="s">
        <v>176</v>
      </c>
      <c r="E444" t="s">
        <v>152</v>
      </c>
      <c r="G444">
        <v>0</v>
      </c>
      <c r="H444">
        <v>16</v>
      </c>
      <c r="I444" t="s">
        <v>1058</v>
      </c>
      <c r="J444" t="s">
        <v>736</v>
      </c>
    </row>
    <row r="445" spans="1:10" x14ac:dyDescent="0.35">
      <c r="A445">
        <v>56798</v>
      </c>
      <c r="B445" t="s">
        <v>149</v>
      </c>
      <c r="C445" t="s">
        <v>1059</v>
      </c>
      <c r="D445" t="s">
        <v>293</v>
      </c>
      <c r="E445" t="s">
        <v>152</v>
      </c>
      <c r="G445">
        <v>0</v>
      </c>
      <c r="H445">
        <v>6</v>
      </c>
      <c r="I445" t="s">
        <v>1060</v>
      </c>
      <c r="J445" t="s">
        <v>736</v>
      </c>
    </row>
    <row r="446" spans="1:10" x14ac:dyDescent="0.35">
      <c r="A446">
        <v>56827</v>
      </c>
      <c r="B446" t="s">
        <v>149</v>
      </c>
      <c r="C446" t="s">
        <v>1061</v>
      </c>
      <c r="D446" t="s">
        <v>552</v>
      </c>
      <c r="E446" t="s">
        <v>152</v>
      </c>
      <c r="G446">
        <v>0</v>
      </c>
      <c r="H446">
        <v>8</v>
      </c>
      <c r="I446" t="s">
        <v>1062</v>
      </c>
      <c r="J446" t="s">
        <v>154</v>
      </c>
    </row>
    <row r="447" spans="1:10" x14ac:dyDescent="0.35">
      <c r="A447">
        <v>56828</v>
      </c>
      <c r="B447" t="s">
        <v>149</v>
      </c>
      <c r="C447" t="s">
        <v>1063</v>
      </c>
      <c r="D447" t="s">
        <v>945</v>
      </c>
      <c r="E447" t="s">
        <v>152</v>
      </c>
      <c r="G447">
        <v>0</v>
      </c>
      <c r="H447">
        <v>3</v>
      </c>
      <c r="I447" t="s">
        <v>1064</v>
      </c>
      <c r="J447" t="s">
        <v>995</v>
      </c>
    </row>
    <row r="448" spans="1:10" x14ac:dyDescent="0.35">
      <c r="A448">
        <v>56858</v>
      </c>
      <c r="B448" t="s">
        <v>149</v>
      </c>
      <c r="C448" t="s">
        <v>1065</v>
      </c>
      <c r="D448" t="s">
        <v>555</v>
      </c>
      <c r="E448" t="s">
        <v>152</v>
      </c>
      <c r="G448">
        <v>0</v>
      </c>
      <c r="H448">
        <v>4</v>
      </c>
      <c r="I448" t="s">
        <v>1066</v>
      </c>
      <c r="J448" t="s">
        <v>525</v>
      </c>
    </row>
    <row r="449" spans="1:10" x14ac:dyDescent="0.35">
      <c r="A449">
        <v>56859</v>
      </c>
      <c r="B449" t="s">
        <v>149</v>
      </c>
      <c r="C449" t="s">
        <v>1067</v>
      </c>
      <c r="D449" t="s">
        <v>555</v>
      </c>
      <c r="E449" t="s">
        <v>152</v>
      </c>
      <c r="G449">
        <v>0</v>
      </c>
      <c r="H449">
        <v>8</v>
      </c>
      <c r="I449" t="s">
        <v>1068</v>
      </c>
      <c r="J449" t="s">
        <v>525</v>
      </c>
    </row>
    <row r="450" spans="1:10" x14ac:dyDescent="0.35">
      <c r="A450">
        <v>56860</v>
      </c>
      <c r="B450" t="s">
        <v>149</v>
      </c>
      <c r="C450" t="s">
        <v>1069</v>
      </c>
      <c r="D450" t="s">
        <v>338</v>
      </c>
      <c r="E450" t="s">
        <v>152</v>
      </c>
      <c r="G450">
        <v>0</v>
      </c>
      <c r="H450">
        <v>4</v>
      </c>
      <c r="I450" t="s">
        <v>1070</v>
      </c>
      <c r="J450" t="s">
        <v>1041</v>
      </c>
    </row>
    <row r="451" spans="1:10" x14ac:dyDescent="0.35">
      <c r="A451">
        <v>56863</v>
      </c>
      <c r="B451" t="s">
        <v>149</v>
      </c>
      <c r="C451" t="s">
        <v>1071</v>
      </c>
      <c r="D451" t="s">
        <v>280</v>
      </c>
      <c r="E451" t="s">
        <v>152</v>
      </c>
      <c r="G451">
        <v>1</v>
      </c>
      <c r="H451">
        <v>0.5</v>
      </c>
      <c r="I451" t="s">
        <v>1072</v>
      </c>
      <c r="J451" t="s">
        <v>187</v>
      </c>
    </row>
    <row r="452" spans="1:10" x14ac:dyDescent="0.35">
      <c r="A452">
        <v>56864</v>
      </c>
      <c r="B452" t="s">
        <v>149</v>
      </c>
      <c r="C452" t="s">
        <v>1073</v>
      </c>
      <c r="D452" t="s">
        <v>280</v>
      </c>
      <c r="E452" t="s">
        <v>152</v>
      </c>
      <c r="G452">
        <v>1</v>
      </c>
      <c r="H452">
        <v>0.5</v>
      </c>
      <c r="I452" t="s">
        <v>1074</v>
      </c>
      <c r="J452" t="s">
        <v>187</v>
      </c>
    </row>
    <row r="453" spans="1:10" x14ac:dyDescent="0.35">
      <c r="A453">
        <v>56865</v>
      </c>
      <c r="B453" t="s">
        <v>149</v>
      </c>
      <c r="C453" t="s">
        <v>1075</v>
      </c>
      <c r="D453" t="s">
        <v>280</v>
      </c>
      <c r="E453" t="s">
        <v>152</v>
      </c>
      <c r="G453">
        <v>1</v>
      </c>
      <c r="H453">
        <v>1</v>
      </c>
      <c r="I453" t="s">
        <v>1076</v>
      </c>
      <c r="J453" t="s">
        <v>187</v>
      </c>
    </row>
    <row r="454" spans="1:10" x14ac:dyDescent="0.35">
      <c r="A454">
        <v>56866</v>
      </c>
      <c r="B454" t="s">
        <v>149</v>
      </c>
      <c r="C454" t="s">
        <v>1077</v>
      </c>
      <c r="D454" t="s">
        <v>280</v>
      </c>
      <c r="E454" t="s">
        <v>152</v>
      </c>
      <c r="G454">
        <v>1</v>
      </c>
      <c r="H454">
        <v>0.5</v>
      </c>
      <c r="I454" t="s">
        <v>1078</v>
      </c>
      <c r="J454" t="s">
        <v>187</v>
      </c>
    </row>
    <row r="455" spans="1:10" x14ac:dyDescent="0.35">
      <c r="A455">
        <v>56869</v>
      </c>
      <c r="B455" t="s">
        <v>149</v>
      </c>
      <c r="C455" t="s">
        <v>1079</v>
      </c>
      <c r="D455" t="s">
        <v>429</v>
      </c>
      <c r="E455" t="s">
        <v>152</v>
      </c>
      <c r="G455">
        <v>0</v>
      </c>
      <c r="H455">
        <v>0.75</v>
      </c>
      <c r="I455" t="s">
        <v>1080</v>
      </c>
      <c r="J455" t="s">
        <v>201</v>
      </c>
    </row>
    <row r="456" spans="1:10" x14ac:dyDescent="0.35">
      <c r="A456">
        <v>56870</v>
      </c>
      <c r="B456" t="s">
        <v>149</v>
      </c>
      <c r="C456" t="s">
        <v>1081</v>
      </c>
      <c r="D456" t="s">
        <v>429</v>
      </c>
      <c r="E456" t="s">
        <v>152</v>
      </c>
      <c r="G456">
        <v>0</v>
      </c>
      <c r="H456">
        <v>0.75</v>
      </c>
      <c r="I456" t="s">
        <v>1082</v>
      </c>
      <c r="J456" t="s">
        <v>201</v>
      </c>
    </row>
    <row r="457" spans="1:10" x14ac:dyDescent="0.35">
      <c r="A457">
        <v>56871</v>
      </c>
      <c r="B457" t="s">
        <v>149</v>
      </c>
      <c r="C457" t="s">
        <v>1083</v>
      </c>
      <c r="D457" t="s">
        <v>429</v>
      </c>
      <c r="E457" t="s">
        <v>152</v>
      </c>
      <c r="G457">
        <v>0</v>
      </c>
      <c r="H457">
        <v>0.75</v>
      </c>
      <c r="I457" t="s">
        <v>1084</v>
      </c>
      <c r="J457" t="s">
        <v>201</v>
      </c>
    </row>
    <row r="458" spans="1:10" x14ac:dyDescent="0.35">
      <c r="A458">
        <v>56872</v>
      </c>
      <c r="B458" t="s">
        <v>149</v>
      </c>
      <c r="C458" t="s">
        <v>1085</v>
      </c>
      <c r="D458" t="s">
        <v>429</v>
      </c>
      <c r="E458" t="s">
        <v>152</v>
      </c>
      <c r="G458">
        <v>0</v>
      </c>
      <c r="H458">
        <v>1</v>
      </c>
      <c r="I458" t="s">
        <v>1086</v>
      </c>
      <c r="J458" t="s">
        <v>201</v>
      </c>
    </row>
    <row r="459" spans="1:10" x14ac:dyDescent="0.35">
      <c r="A459">
        <v>56873</v>
      </c>
      <c r="B459" t="s">
        <v>149</v>
      </c>
      <c r="C459" t="s">
        <v>1087</v>
      </c>
      <c r="D459" t="s">
        <v>429</v>
      </c>
      <c r="E459" t="s">
        <v>152</v>
      </c>
      <c r="G459">
        <v>0</v>
      </c>
      <c r="H459">
        <v>1</v>
      </c>
      <c r="I459" t="s">
        <v>1088</v>
      </c>
      <c r="J459" t="s">
        <v>201</v>
      </c>
    </row>
    <row r="460" spans="1:10" x14ac:dyDescent="0.35">
      <c r="A460">
        <v>56877</v>
      </c>
      <c r="B460" t="s">
        <v>149</v>
      </c>
      <c r="C460" t="s">
        <v>1089</v>
      </c>
      <c r="D460" t="s">
        <v>429</v>
      </c>
      <c r="E460" t="s">
        <v>152</v>
      </c>
      <c r="G460">
        <v>0</v>
      </c>
      <c r="H460">
        <v>1</v>
      </c>
      <c r="I460" t="s">
        <v>1090</v>
      </c>
      <c r="J460" t="s">
        <v>201</v>
      </c>
    </row>
    <row r="461" spans="1:10" x14ac:dyDescent="0.35">
      <c r="A461">
        <v>56878</v>
      </c>
      <c r="B461" t="s">
        <v>149</v>
      </c>
      <c r="C461" t="s">
        <v>1091</v>
      </c>
      <c r="D461" t="s">
        <v>429</v>
      </c>
      <c r="E461" t="s">
        <v>152</v>
      </c>
      <c r="G461">
        <v>0</v>
      </c>
      <c r="H461">
        <v>1</v>
      </c>
      <c r="I461" t="s">
        <v>1092</v>
      </c>
      <c r="J461" t="s">
        <v>201</v>
      </c>
    </row>
    <row r="462" spans="1:10" x14ac:dyDescent="0.35">
      <c r="A462">
        <v>56892</v>
      </c>
      <c r="B462" t="s">
        <v>149</v>
      </c>
      <c r="C462" t="s">
        <v>1093</v>
      </c>
      <c r="D462" t="s">
        <v>945</v>
      </c>
      <c r="E462" t="s">
        <v>152</v>
      </c>
      <c r="G462">
        <v>0</v>
      </c>
      <c r="H462">
        <v>24</v>
      </c>
      <c r="I462" t="s">
        <v>1094</v>
      </c>
      <c r="J462" t="s">
        <v>995</v>
      </c>
    </row>
    <row r="463" spans="1:10" x14ac:dyDescent="0.35">
      <c r="A463">
        <v>56897</v>
      </c>
      <c r="B463" t="s">
        <v>149</v>
      </c>
      <c r="C463" t="s">
        <v>1095</v>
      </c>
      <c r="D463" t="s">
        <v>176</v>
      </c>
      <c r="E463" t="s">
        <v>152</v>
      </c>
      <c r="G463">
        <v>0</v>
      </c>
      <c r="H463">
        <v>8</v>
      </c>
      <c r="I463" t="s">
        <v>1096</v>
      </c>
      <c r="J463" t="s">
        <v>736</v>
      </c>
    </row>
    <row r="464" spans="1:10" x14ac:dyDescent="0.35">
      <c r="A464">
        <v>56904</v>
      </c>
      <c r="B464" t="s">
        <v>149</v>
      </c>
      <c r="C464" t="s">
        <v>1097</v>
      </c>
      <c r="D464" t="s">
        <v>429</v>
      </c>
      <c r="E464" t="s">
        <v>152</v>
      </c>
      <c r="G464">
        <v>0</v>
      </c>
      <c r="H464">
        <v>0.5</v>
      </c>
      <c r="I464" t="s">
        <v>1098</v>
      </c>
      <c r="J464" t="s">
        <v>201</v>
      </c>
    </row>
    <row r="465" spans="1:10" x14ac:dyDescent="0.35">
      <c r="A465">
        <v>56905</v>
      </c>
      <c r="B465" t="s">
        <v>149</v>
      </c>
      <c r="C465" t="s">
        <v>1099</v>
      </c>
      <c r="D465" t="s">
        <v>429</v>
      </c>
      <c r="E465" t="s">
        <v>152</v>
      </c>
      <c r="G465">
        <v>0</v>
      </c>
      <c r="H465">
        <v>0.5</v>
      </c>
      <c r="I465" t="s">
        <v>1100</v>
      </c>
      <c r="J465" t="s">
        <v>201</v>
      </c>
    </row>
    <row r="466" spans="1:10" x14ac:dyDescent="0.35">
      <c r="A466">
        <v>56906</v>
      </c>
      <c r="B466" t="s">
        <v>149</v>
      </c>
      <c r="C466" t="s">
        <v>1101</v>
      </c>
      <c r="D466" t="s">
        <v>429</v>
      </c>
      <c r="E466" t="s">
        <v>152</v>
      </c>
      <c r="G466">
        <v>0</v>
      </c>
      <c r="H466">
        <v>0.5</v>
      </c>
      <c r="I466" t="s">
        <v>1102</v>
      </c>
      <c r="J466" t="s">
        <v>201</v>
      </c>
    </row>
    <row r="467" spans="1:10" x14ac:dyDescent="0.35">
      <c r="A467">
        <v>56908</v>
      </c>
      <c r="B467" t="s">
        <v>149</v>
      </c>
      <c r="C467" t="s">
        <v>1103</v>
      </c>
      <c r="D467" t="s">
        <v>429</v>
      </c>
      <c r="E467" t="s">
        <v>152</v>
      </c>
      <c r="G467">
        <v>0</v>
      </c>
      <c r="H467">
        <v>0.45</v>
      </c>
      <c r="I467" t="s">
        <v>1104</v>
      </c>
      <c r="J467" t="s">
        <v>201</v>
      </c>
    </row>
    <row r="468" spans="1:10" x14ac:dyDescent="0.35">
      <c r="A468">
        <v>56909</v>
      </c>
      <c r="B468" t="s">
        <v>149</v>
      </c>
      <c r="C468" t="s">
        <v>1105</v>
      </c>
      <c r="D468" t="s">
        <v>429</v>
      </c>
      <c r="E468" t="s">
        <v>152</v>
      </c>
      <c r="G468">
        <v>0</v>
      </c>
      <c r="H468">
        <v>0.5</v>
      </c>
      <c r="I468" t="s">
        <v>1106</v>
      </c>
      <c r="J468" t="s">
        <v>201</v>
      </c>
    </row>
    <row r="469" spans="1:10" x14ac:dyDescent="0.35">
      <c r="A469">
        <v>56929</v>
      </c>
      <c r="B469" t="s">
        <v>149</v>
      </c>
      <c r="C469" t="s">
        <v>1107</v>
      </c>
      <c r="D469" t="s">
        <v>185</v>
      </c>
      <c r="E469" t="s">
        <v>152</v>
      </c>
      <c r="G469">
        <v>1</v>
      </c>
      <c r="H469">
        <v>5</v>
      </c>
      <c r="I469" t="s">
        <v>1108</v>
      </c>
      <c r="J469" t="s">
        <v>190</v>
      </c>
    </row>
    <row r="470" spans="1:10" x14ac:dyDescent="0.35">
      <c r="A470">
        <v>56931</v>
      </c>
      <c r="B470" t="s">
        <v>149</v>
      </c>
      <c r="C470" t="s">
        <v>1109</v>
      </c>
      <c r="D470" t="s">
        <v>429</v>
      </c>
      <c r="E470" t="s">
        <v>152</v>
      </c>
      <c r="G470">
        <v>0</v>
      </c>
      <c r="H470">
        <v>1</v>
      </c>
      <c r="I470" t="s">
        <v>1110</v>
      </c>
      <c r="J470" t="s">
        <v>201</v>
      </c>
    </row>
    <row r="471" spans="1:10" x14ac:dyDescent="0.35">
      <c r="A471">
        <v>56932</v>
      </c>
      <c r="B471" t="s">
        <v>149</v>
      </c>
      <c r="C471" t="s">
        <v>1111</v>
      </c>
      <c r="D471" t="s">
        <v>429</v>
      </c>
      <c r="E471" t="s">
        <v>152</v>
      </c>
      <c r="G471">
        <v>0</v>
      </c>
      <c r="H471">
        <v>0.5</v>
      </c>
      <c r="I471" t="s">
        <v>1112</v>
      </c>
      <c r="J471" t="s">
        <v>201</v>
      </c>
    </row>
    <row r="472" spans="1:10" x14ac:dyDescent="0.35">
      <c r="A472">
        <v>56933</v>
      </c>
      <c r="B472" t="s">
        <v>149</v>
      </c>
      <c r="C472" t="s">
        <v>1113</v>
      </c>
      <c r="D472" t="s">
        <v>429</v>
      </c>
      <c r="E472" t="s">
        <v>152</v>
      </c>
      <c r="G472">
        <v>0</v>
      </c>
      <c r="H472">
        <v>0.5</v>
      </c>
      <c r="I472" t="s">
        <v>1114</v>
      </c>
      <c r="J472" t="s">
        <v>201</v>
      </c>
    </row>
    <row r="473" spans="1:10" x14ac:dyDescent="0.35">
      <c r="A473">
        <v>56934</v>
      </c>
      <c r="B473" t="s">
        <v>149</v>
      </c>
      <c r="C473" t="s">
        <v>916</v>
      </c>
      <c r="D473" t="s">
        <v>203</v>
      </c>
      <c r="E473" t="s">
        <v>152</v>
      </c>
      <c r="G473">
        <v>0</v>
      </c>
      <c r="H473">
        <v>2</v>
      </c>
      <c r="I473" t="s">
        <v>1115</v>
      </c>
      <c r="J473" t="s">
        <v>187</v>
      </c>
    </row>
    <row r="474" spans="1:10" x14ac:dyDescent="0.35">
      <c r="A474">
        <v>56935</v>
      </c>
      <c r="B474" t="s">
        <v>149</v>
      </c>
      <c r="C474" t="s">
        <v>1116</v>
      </c>
      <c r="D474" t="s">
        <v>203</v>
      </c>
      <c r="E474" t="s">
        <v>152</v>
      </c>
      <c r="G474">
        <v>1</v>
      </c>
      <c r="H474">
        <v>2</v>
      </c>
      <c r="I474" t="s">
        <v>1117</v>
      </c>
      <c r="J474" t="s">
        <v>201</v>
      </c>
    </row>
    <row r="475" spans="1:10" x14ac:dyDescent="0.35">
      <c r="A475">
        <v>56937</v>
      </c>
      <c r="B475" t="s">
        <v>149</v>
      </c>
      <c r="C475" t="s">
        <v>1118</v>
      </c>
      <c r="D475" t="s">
        <v>203</v>
      </c>
      <c r="E475" t="s">
        <v>152</v>
      </c>
      <c r="G475">
        <v>1</v>
      </c>
      <c r="H475">
        <v>2</v>
      </c>
      <c r="I475" t="s">
        <v>1119</v>
      </c>
      <c r="J475" t="s">
        <v>201</v>
      </c>
    </row>
    <row r="476" spans="1:10" x14ac:dyDescent="0.35">
      <c r="A476">
        <v>56938</v>
      </c>
      <c r="B476" t="s">
        <v>149</v>
      </c>
      <c r="C476" t="s">
        <v>1120</v>
      </c>
      <c r="D476" t="s">
        <v>203</v>
      </c>
      <c r="E476" t="s">
        <v>152</v>
      </c>
      <c r="G476">
        <v>1</v>
      </c>
      <c r="H476">
        <v>2</v>
      </c>
      <c r="I476" t="s">
        <v>1121</v>
      </c>
      <c r="J476" t="s">
        <v>201</v>
      </c>
    </row>
    <row r="477" spans="1:10" x14ac:dyDescent="0.35">
      <c r="A477">
        <v>56939</v>
      </c>
      <c r="B477" t="s">
        <v>149</v>
      </c>
      <c r="C477" t="s">
        <v>1122</v>
      </c>
      <c r="D477" t="s">
        <v>203</v>
      </c>
      <c r="E477" t="s">
        <v>152</v>
      </c>
      <c r="G477">
        <v>1</v>
      </c>
      <c r="H477">
        <v>2</v>
      </c>
      <c r="I477" t="s">
        <v>1123</v>
      </c>
      <c r="J477" t="s">
        <v>201</v>
      </c>
    </row>
    <row r="478" spans="1:10" x14ac:dyDescent="0.35">
      <c r="A478">
        <v>56940</v>
      </c>
      <c r="B478" t="s">
        <v>149</v>
      </c>
      <c r="C478" t="s">
        <v>1124</v>
      </c>
      <c r="D478" t="s">
        <v>203</v>
      </c>
      <c r="E478" t="s">
        <v>152</v>
      </c>
      <c r="G478">
        <v>0</v>
      </c>
      <c r="H478">
        <v>2</v>
      </c>
      <c r="I478" t="s">
        <v>1125</v>
      </c>
      <c r="J478" t="s">
        <v>201</v>
      </c>
    </row>
    <row r="479" spans="1:10" x14ac:dyDescent="0.35">
      <c r="A479">
        <v>56941</v>
      </c>
      <c r="B479" t="s">
        <v>149</v>
      </c>
      <c r="C479" t="s">
        <v>1126</v>
      </c>
      <c r="D479" t="s">
        <v>203</v>
      </c>
      <c r="E479" t="s">
        <v>152</v>
      </c>
      <c r="G479">
        <v>0</v>
      </c>
      <c r="H479">
        <v>2</v>
      </c>
      <c r="I479" t="s">
        <v>1127</v>
      </c>
      <c r="J479" t="s">
        <v>1128</v>
      </c>
    </row>
    <row r="480" spans="1:10" x14ac:dyDescent="0.35">
      <c r="A480">
        <v>56943</v>
      </c>
      <c r="B480" t="s">
        <v>149</v>
      </c>
      <c r="C480" t="s">
        <v>1129</v>
      </c>
      <c r="D480" t="s">
        <v>203</v>
      </c>
      <c r="E480" t="s">
        <v>152</v>
      </c>
      <c r="G480">
        <v>0</v>
      </c>
      <c r="H480">
        <v>2</v>
      </c>
      <c r="I480" t="s">
        <v>1130</v>
      </c>
      <c r="J480" t="s">
        <v>201</v>
      </c>
    </row>
    <row r="481" spans="1:10" x14ac:dyDescent="0.35">
      <c r="A481">
        <v>56944</v>
      </c>
      <c r="B481" t="s">
        <v>149</v>
      </c>
      <c r="C481" t="s">
        <v>1131</v>
      </c>
      <c r="D481" t="s">
        <v>203</v>
      </c>
      <c r="E481" t="s">
        <v>152</v>
      </c>
      <c r="G481">
        <v>1</v>
      </c>
      <c r="H481">
        <v>2</v>
      </c>
      <c r="I481" t="s">
        <v>1132</v>
      </c>
      <c r="J481" t="s">
        <v>1128</v>
      </c>
    </row>
    <row r="482" spans="1:10" x14ac:dyDescent="0.35">
      <c r="A482">
        <v>56997</v>
      </c>
      <c r="B482" t="s">
        <v>149</v>
      </c>
      <c r="C482" t="s">
        <v>1133</v>
      </c>
      <c r="D482" t="s">
        <v>280</v>
      </c>
      <c r="E482" t="s">
        <v>152</v>
      </c>
      <c r="G482">
        <v>1</v>
      </c>
      <c r="H482">
        <v>0.5</v>
      </c>
      <c r="I482" t="s">
        <v>1134</v>
      </c>
      <c r="J482" t="s">
        <v>187</v>
      </c>
    </row>
    <row r="483" spans="1:10" x14ac:dyDescent="0.35">
      <c r="A483">
        <v>56998</v>
      </c>
      <c r="B483" t="s">
        <v>149</v>
      </c>
      <c r="C483" t="s">
        <v>1135</v>
      </c>
      <c r="D483" t="s">
        <v>280</v>
      </c>
      <c r="E483" t="s">
        <v>152</v>
      </c>
      <c r="G483">
        <v>1</v>
      </c>
      <c r="H483">
        <v>0.5</v>
      </c>
      <c r="I483" t="s">
        <v>1136</v>
      </c>
      <c r="J483" t="s">
        <v>187</v>
      </c>
    </row>
    <row r="484" spans="1:10" x14ac:dyDescent="0.35">
      <c r="A484">
        <v>56999</v>
      </c>
      <c r="B484" t="s">
        <v>149</v>
      </c>
      <c r="C484" t="s">
        <v>1137</v>
      </c>
      <c r="D484" t="s">
        <v>280</v>
      </c>
      <c r="E484" t="s">
        <v>152</v>
      </c>
      <c r="G484">
        <v>0</v>
      </c>
      <c r="H484">
        <v>0.5</v>
      </c>
      <c r="I484" t="s">
        <v>1138</v>
      </c>
      <c r="J484" t="s">
        <v>187</v>
      </c>
    </row>
    <row r="485" spans="1:10" x14ac:dyDescent="0.35">
      <c r="A485">
        <v>57000</v>
      </c>
      <c r="B485" t="s">
        <v>149</v>
      </c>
      <c r="C485" t="s">
        <v>1139</v>
      </c>
      <c r="D485" t="s">
        <v>280</v>
      </c>
      <c r="E485" t="s">
        <v>152</v>
      </c>
      <c r="G485">
        <v>1</v>
      </c>
      <c r="H485">
        <v>0.5</v>
      </c>
      <c r="I485" t="s">
        <v>1140</v>
      </c>
      <c r="J485" t="s">
        <v>187</v>
      </c>
    </row>
    <row r="486" spans="1:10" x14ac:dyDescent="0.35">
      <c r="A486">
        <v>57001</v>
      </c>
      <c r="B486" t="s">
        <v>149</v>
      </c>
      <c r="C486" t="s">
        <v>1141</v>
      </c>
      <c r="D486" t="s">
        <v>280</v>
      </c>
      <c r="E486" t="s">
        <v>152</v>
      </c>
      <c r="G486">
        <v>1</v>
      </c>
      <c r="H486">
        <v>0.5</v>
      </c>
      <c r="I486" t="s">
        <v>1142</v>
      </c>
      <c r="J486" t="s">
        <v>187</v>
      </c>
    </row>
    <row r="487" spans="1:10" x14ac:dyDescent="0.35">
      <c r="A487">
        <v>57002</v>
      </c>
      <c r="B487" t="s">
        <v>149</v>
      </c>
      <c r="C487" t="s">
        <v>1143</v>
      </c>
      <c r="D487" t="s">
        <v>280</v>
      </c>
      <c r="E487" t="s">
        <v>152</v>
      </c>
      <c r="G487">
        <v>1</v>
      </c>
      <c r="H487">
        <v>0.5</v>
      </c>
      <c r="I487" t="s">
        <v>1144</v>
      </c>
      <c r="J487" t="s">
        <v>187</v>
      </c>
    </row>
    <row r="488" spans="1:10" x14ac:dyDescent="0.35">
      <c r="A488">
        <v>57003</v>
      </c>
      <c r="B488" t="s">
        <v>149</v>
      </c>
      <c r="C488" t="s">
        <v>1145</v>
      </c>
      <c r="D488" t="s">
        <v>280</v>
      </c>
      <c r="E488" t="s">
        <v>152</v>
      </c>
      <c r="G488">
        <v>1</v>
      </c>
      <c r="H488">
        <v>0.5</v>
      </c>
      <c r="I488" t="s">
        <v>1146</v>
      </c>
      <c r="J488" t="s">
        <v>187</v>
      </c>
    </row>
    <row r="489" spans="1:10" x14ac:dyDescent="0.35">
      <c r="A489">
        <v>57004</v>
      </c>
      <c r="B489" t="s">
        <v>149</v>
      </c>
      <c r="C489" t="s">
        <v>1147</v>
      </c>
      <c r="D489" t="s">
        <v>280</v>
      </c>
      <c r="E489" t="s">
        <v>152</v>
      </c>
      <c r="G489">
        <v>1</v>
      </c>
      <c r="H489">
        <v>0.5</v>
      </c>
      <c r="I489" t="s">
        <v>1148</v>
      </c>
      <c r="J489" t="s">
        <v>187</v>
      </c>
    </row>
    <row r="490" spans="1:10" x14ac:dyDescent="0.35">
      <c r="A490">
        <v>57005</v>
      </c>
      <c r="B490" t="s">
        <v>149</v>
      </c>
      <c r="C490" t="s">
        <v>1149</v>
      </c>
      <c r="D490" t="s">
        <v>280</v>
      </c>
      <c r="E490" t="s">
        <v>152</v>
      </c>
      <c r="G490">
        <v>1</v>
      </c>
      <c r="H490">
        <v>0.5</v>
      </c>
      <c r="I490" t="s">
        <v>1150</v>
      </c>
      <c r="J490" t="s">
        <v>187</v>
      </c>
    </row>
    <row r="491" spans="1:10" x14ac:dyDescent="0.35">
      <c r="A491">
        <v>57055</v>
      </c>
      <c r="B491" t="s">
        <v>149</v>
      </c>
      <c r="C491" t="s">
        <v>1151</v>
      </c>
      <c r="D491" t="s">
        <v>945</v>
      </c>
      <c r="E491" t="s">
        <v>152</v>
      </c>
      <c r="G491">
        <v>1</v>
      </c>
      <c r="H491">
        <v>1</v>
      </c>
      <c r="I491" t="s">
        <v>1152</v>
      </c>
      <c r="J491" t="s">
        <v>995</v>
      </c>
    </row>
    <row r="492" spans="1:10" x14ac:dyDescent="0.35">
      <c r="A492">
        <v>57056</v>
      </c>
      <c r="B492" t="s">
        <v>149</v>
      </c>
      <c r="C492" t="s">
        <v>1153</v>
      </c>
      <c r="D492" t="s">
        <v>945</v>
      </c>
      <c r="E492" t="s">
        <v>152</v>
      </c>
      <c r="G492">
        <v>1</v>
      </c>
      <c r="H492">
        <v>2</v>
      </c>
      <c r="I492" t="s">
        <v>1154</v>
      </c>
      <c r="J492" t="s">
        <v>995</v>
      </c>
    </row>
    <row r="493" spans="1:10" x14ac:dyDescent="0.35">
      <c r="A493">
        <v>57057</v>
      </c>
      <c r="B493" t="s">
        <v>149</v>
      </c>
      <c r="C493" t="s">
        <v>1155</v>
      </c>
      <c r="D493" t="s">
        <v>945</v>
      </c>
      <c r="E493" t="s">
        <v>152</v>
      </c>
      <c r="G493">
        <v>1</v>
      </c>
      <c r="H493">
        <v>2</v>
      </c>
      <c r="I493" t="s">
        <v>1156</v>
      </c>
      <c r="J493" t="s">
        <v>995</v>
      </c>
    </row>
    <row r="494" spans="1:10" x14ac:dyDescent="0.35">
      <c r="A494">
        <v>57059</v>
      </c>
      <c r="B494" t="s">
        <v>149</v>
      </c>
      <c r="C494" t="s">
        <v>1157</v>
      </c>
      <c r="D494" t="s">
        <v>945</v>
      </c>
      <c r="E494" t="s">
        <v>152</v>
      </c>
      <c r="G494">
        <v>1</v>
      </c>
      <c r="H494">
        <v>2</v>
      </c>
      <c r="I494" t="s">
        <v>1158</v>
      </c>
      <c r="J494" t="s">
        <v>947</v>
      </c>
    </row>
    <row r="495" spans="1:10" x14ac:dyDescent="0.35">
      <c r="A495">
        <v>57061</v>
      </c>
      <c r="B495" t="s">
        <v>149</v>
      </c>
      <c r="C495" t="s">
        <v>1159</v>
      </c>
      <c r="D495" t="s">
        <v>185</v>
      </c>
      <c r="E495" t="s">
        <v>152</v>
      </c>
      <c r="G495">
        <v>0</v>
      </c>
      <c r="H495">
        <v>2</v>
      </c>
      <c r="I495" t="s">
        <v>1160</v>
      </c>
      <c r="J495" t="s">
        <v>1161</v>
      </c>
    </row>
    <row r="496" spans="1:10" x14ac:dyDescent="0.35">
      <c r="A496">
        <v>57062</v>
      </c>
      <c r="B496" t="s">
        <v>149</v>
      </c>
      <c r="C496" t="s">
        <v>1162</v>
      </c>
      <c r="D496" t="s">
        <v>203</v>
      </c>
      <c r="E496" t="s">
        <v>152</v>
      </c>
      <c r="G496">
        <v>0</v>
      </c>
      <c r="H496">
        <v>2</v>
      </c>
      <c r="I496" t="s">
        <v>1163</v>
      </c>
      <c r="J496" t="s">
        <v>201</v>
      </c>
    </row>
    <row r="497" spans="1:10" x14ac:dyDescent="0.35">
      <c r="A497">
        <v>57067</v>
      </c>
      <c r="B497" t="s">
        <v>149</v>
      </c>
      <c r="C497" t="s">
        <v>1164</v>
      </c>
      <c r="D497" t="s">
        <v>945</v>
      </c>
      <c r="E497" t="s">
        <v>152</v>
      </c>
      <c r="G497">
        <v>1</v>
      </c>
      <c r="H497">
        <v>1</v>
      </c>
      <c r="I497" t="s">
        <v>1165</v>
      </c>
      <c r="J497" t="s">
        <v>947</v>
      </c>
    </row>
    <row r="498" spans="1:10" x14ac:dyDescent="0.35">
      <c r="A498">
        <v>57068</v>
      </c>
      <c r="B498" t="s">
        <v>149</v>
      </c>
      <c r="C498" t="s">
        <v>1166</v>
      </c>
      <c r="D498" t="s">
        <v>280</v>
      </c>
      <c r="E498" t="s">
        <v>152</v>
      </c>
      <c r="G498">
        <v>1</v>
      </c>
      <c r="H498">
        <v>0.5</v>
      </c>
      <c r="I498" t="s">
        <v>1167</v>
      </c>
      <c r="J498" t="s">
        <v>187</v>
      </c>
    </row>
    <row r="499" spans="1:10" x14ac:dyDescent="0.35">
      <c r="A499">
        <v>57069</v>
      </c>
      <c r="B499" t="s">
        <v>149</v>
      </c>
      <c r="C499" t="s">
        <v>1168</v>
      </c>
      <c r="D499" t="s">
        <v>280</v>
      </c>
      <c r="E499" t="s">
        <v>152</v>
      </c>
      <c r="G499">
        <v>1</v>
      </c>
      <c r="H499">
        <v>0.5</v>
      </c>
      <c r="I499" t="s">
        <v>1169</v>
      </c>
      <c r="J499" t="s">
        <v>187</v>
      </c>
    </row>
    <row r="500" spans="1:10" x14ac:dyDescent="0.35">
      <c r="A500">
        <v>57070</v>
      </c>
      <c r="B500" t="s">
        <v>149</v>
      </c>
      <c r="C500" t="s">
        <v>1170</v>
      </c>
      <c r="D500" t="s">
        <v>280</v>
      </c>
      <c r="E500" t="s">
        <v>152</v>
      </c>
      <c r="G500">
        <v>1</v>
      </c>
      <c r="H500">
        <v>0.5</v>
      </c>
      <c r="I500" t="s">
        <v>1171</v>
      </c>
      <c r="J500" t="s">
        <v>187</v>
      </c>
    </row>
    <row r="501" spans="1:10" x14ac:dyDescent="0.35">
      <c r="A501">
        <v>57071</v>
      </c>
      <c r="B501" t="s">
        <v>149</v>
      </c>
      <c r="C501" t="s">
        <v>1172</v>
      </c>
      <c r="D501" t="s">
        <v>280</v>
      </c>
      <c r="E501" t="s">
        <v>152</v>
      </c>
      <c r="G501">
        <v>1</v>
      </c>
      <c r="H501">
        <v>0.5</v>
      </c>
      <c r="I501" t="s">
        <v>1173</v>
      </c>
      <c r="J501" t="s">
        <v>187</v>
      </c>
    </row>
    <row r="502" spans="1:10" x14ac:dyDescent="0.35">
      <c r="A502">
        <v>57072</v>
      </c>
      <c r="B502" t="s">
        <v>149</v>
      </c>
      <c r="C502" t="s">
        <v>1174</v>
      </c>
      <c r="D502" t="s">
        <v>280</v>
      </c>
      <c r="E502" t="s">
        <v>152</v>
      </c>
      <c r="G502">
        <v>1</v>
      </c>
      <c r="H502">
        <v>0.5</v>
      </c>
      <c r="I502" t="s">
        <v>1175</v>
      </c>
      <c r="J502" t="s">
        <v>187</v>
      </c>
    </row>
    <row r="503" spans="1:10" x14ac:dyDescent="0.35">
      <c r="A503">
        <v>57073</v>
      </c>
      <c r="B503" t="s">
        <v>149</v>
      </c>
      <c r="C503" t="s">
        <v>1176</v>
      </c>
      <c r="D503" t="s">
        <v>945</v>
      </c>
      <c r="E503" t="s">
        <v>152</v>
      </c>
      <c r="G503">
        <v>1</v>
      </c>
      <c r="H503">
        <v>1</v>
      </c>
      <c r="I503" t="s">
        <v>1177</v>
      </c>
      <c r="J503" t="s">
        <v>995</v>
      </c>
    </row>
    <row r="504" spans="1:10" x14ac:dyDescent="0.35">
      <c r="A504">
        <v>57075</v>
      </c>
      <c r="B504" t="s">
        <v>149</v>
      </c>
      <c r="C504" t="s">
        <v>1178</v>
      </c>
      <c r="D504" t="s">
        <v>293</v>
      </c>
      <c r="E504" t="s">
        <v>152</v>
      </c>
      <c r="G504">
        <v>1</v>
      </c>
      <c r="H504">
        <v>1</v>
      </c>
      <c r="I504" t="s">
        <v>1179</v>
      </c>
      <c r="J504" t="s">
        <v>154</v>
      </c>
    </row>
    <row r="505" spans="1:10" x14ac:dyDescent="0.35">
      <c r="A505">
        <v>57077</v>
      </c>
      <c r="B505" t="s">
        <v>149</v>
      </c>
      <c r="C505" t="s">
        <v>1180</v>
      </c>
      <c r="D505" t="s">
        <v>185</v>
      </c>
      <c r="E505" t="s">
        <v>152</v>
      </c>
      <c r="G505">
        <v>0</v>
      </c>
      <c r="H505">
        <v>2</v>
      </c>
      <c r="I505" t="s">
        <v>1181</v>
      </c>
      <c r="J505" t="s">
        <v>201</v>
      </c>
    </row>
    <row r="506" spans="1:10" x14ac:dyDescent="0.35">
      <c r="A506">
        <v>57078</v>
      </c>
      <c r="B506" t="s">
        <v>149</v>
      </c>
      <c r="C506" t="s">
        <v>1182</v>
      </c>
      <c r="D506" t="s">
        <v>293</v>
      </c>
      <c r="E506" t="s">
        <v>152</v>
      </c>
      <c r="G506">
        <v>1</v>
      </c>
      <c r="H506">
        <v>2</v>
      </c>
      <c r="I506" t="s">
        <v>1183</v>
      </c>
      <c r="J506" t="s">
        <v>736</v>
      </c>
    </row>
    <row r="507" spans="1:10" x14ac:dyDescent="0.35">
      <c r="A507">
        <v>57079</v>
      </c>
      <c r="B507" t="s">
        <v>149</v>
      </c>
      <c r="C507" t="s">
        <v>1184</v>
      </c>
      <c r="D507" t="s">
        <v>293</v>
      </c>
      <c r="E507" t="s">
        <v>152</v>
      </c>
      <c r="G507">
        <v>1</v>
      </c>
      <c r="H507">
        <v>6</v>
      </c>
      <c r="I507" t="s">
        <v>1185</v>
      </c>
      <c r="J507" t="s">
        <v>736</v>
      </c>
    </row>
    <row r="508" spans="1:10" x14ac:dyDescent="0.35">
      <c r="A508">
        <v>57080</v>
      </c>
      <c r="B508" t="s">
        <v>149</v>
      </c>
      <c r="C508" t="s">
        <v>1186</v>
      </c>
      <c r="D508" t="s">
        <v>293</v>
      </c>
      <c r="E508" t="s">
        <v>152</v>
      </c>
      <c r="G508">
        <v>1</v>
      </c>
      <c r="H508">
        <v>1</v>
      </c>
      <c r="I508" t="s">
        <v>1187</v>
      </c>
      <c r="J508" t="s">
        <v>1188</v>
      </c>
    </row>
    <row r="509" spans="1:10" x14ac:dyDescent="0.35">
      <c r="A509">
        <v>57081</v>
      </c>
      <c r="B509" t="s">
        <v>149</v>
      </c>
      <c r="C509" t="s">
        <v>1189</v>
      </c>
      <c r="D509" t="s">
        <v>293</v>
      </c>
      <c r="E509" t="s">
        <v>152</v>
      </c>
      <c r="G509">
        <v>1</v>
      </c>
      <c r="H509">
        <v>1</v>
      </c>
      <c r="I509" t="s">
        <v>1190</v>
      </c>
      <c r="J509" t="s">
        <v>1188</v>
      </c>
    </row>
    <row r="510" spans="1:10" x14ac:dyDescent="0.35">
      <c r="A510">
        <v>57082</v>
      </c>
      <c r="B510" t="s">
        <v>149</v>
      </c>
      <c r="C510" t="s">
        <v>1191</v>
      </c>
      <c r="D510" t="s">
        <v>293</v>
      </c>
      <c r="E510" t="s">
        <v>152</v>
      </c>
      <c r="G510">
        <v>1</v>
      </c>
      <c r="H510">
        <v>1</v>
      </c>
      <c r="I510" t="s">
        <v>1192</v>
      </c>
      <c r="J510" t="s">
        <v>1188</v>
      </c>
    </row>
    <row r="511" spans="1:10" x14ac:dyDescent="0.35">
      <c r="A511">
        <v>57083</v>
      </c>
      <c r="B511" t="s">
        <v>149</v>
      </c>
      <c r="C511" t="s">
        <v>1193</v>
      </c>
      <c r="D511" t="s">
        <v>293</v>
      </c>
      <c r="E511" t="s">
        <v>152</v>
      </c>
      <c r="G511">
        <v>1</v>
      </c>
      <c r="H511">
        <v>1</v>
      </c>
      <c r="I511" t="s">
        <v>1194</v>
      </c>
      <c r="J511" t="s">
        <v>1188</v>
      </c>
    </row>
    <row r="512" spans="1:10" x14ac:dyDescent="0.35">
      <c r="A512">
        <v>57084</v>
      </c>
      <c r="B512" t="s">
        <v>149</v>
      </c>
      <c r="C512" t="s">
        <v>1195</v>
      </c>
      <c r="D512" t="s">
        <v>555</v>
      </c>
      <c r="E512" t="s">
        <v>152</v>
      </c>
      <c r="G512">
        <v>0</v>
      </c>
      <c r="H512">
        <v>4</v>
      </c>
      <c r="I512" t="s">
        <v>1196</v>
      </c>
      <c r="J512" t="s">
        <v>927</v>
      </c>
    </row>
    <row r="513" spans="1:10" x14ac:dyDescent="0.35">
      <c r="A513">
        <v>57087</v>
      </c>
      <c r="B513" t="s">
        <v>149</v>
      </c>
      <c r="C513" t="s">
        <v>1197</v>
      </c>
      <c r="D513" t="s">
        <v>203</v>
      </c>
      <c r="E513" t="s">
        <v>152</v>
      </c>
      <c r="G513">
        <v>1</v>
      </c>
      <c r="H513">
        <v>2</v>
      </c>
      <c r="I513" t="s">
        <v>1198</v>
      </c>
      <c r="J513" t="s">
        <v>187</v>
      </c>
    </row>
    <row r="514" spans="1:10" x14ac:dyDescent="0.35">
      <c r="A514">
        <v>57088</v>
      </c>
      <c r="B514" t="s">
        <v>149</v>
      </c>
      <c r="C514" t="s">
        <v>1199</v>
      </c>
      <c r="D514" t="s">
        <v>203</v>
      </c>
      <c r="E514" t="s">
        <v>152</v>
      </c>
      <c r="G514">
        <v>0</v>
      </c>
      <c r="H514">
        <v>2</v>
      </c>
      <c r="I514" t="s">
        <v>1200</v>
      </c>
      <c r="J514" t="s">
        <v>187</v>
      </c>
    </row>
    <row r="515" spans="1:10" x14ac:dyDescent="0.35">
      <c r="A515">
        <v>57099</v>
      </c>
      <c r="B515" t="s">
        <v>149</v>
      </c>
      <c r="C515" t="s">
        <v>1201</v>
      </c>
      <c r="D515" t="s">
        <v>1202</v>
      </c>
      <c r="E515" t="s">
        <v>152</v>
      </c>
      <c r="G515">
        <v>1</v>
      </c>
      <c r="H515">
        <v>6</v>
      </c>
      <c r="I515" t="s">
        <v>1203</v>
      </c>
      <c r="J515" t="s">
        <v>736</v>
      </c>
    </row>
    <row r="516" spans="1:10" x14ac:dyDescent="0.35">
      <c r="A516">
        <v>57137</v>
      </c>
      <c r="B516" t="s">
        <v>149</v>
      </c>
      <c r="C516" t="s">
        <v>1204</v>
      </c>
      <c r="D516" t="s">
        <v>338</v>
      </c>
      <c r="E516" t="s">
        <v>152</v>
      </c>
      <c r="G516">
        <v>0</v>
      </c>
      <c r="H516">
        <v>3</v>
      </c>
      <c r="I516" t="s">
        <v>1205</v>
      </c>
      <c r="J516" t="s">
        <v>1206</v>
      </c>
    </row>
    <row r="517" spans="1:10" x14ac:dyDescent="0.35">
      <c r="A517">
        <v>57260</v>
      </c>
      <c r="B517" t="s">
        <v>149</v>
      </c>
      <c r="C517" t="s">
        <v>1207</v>
      </c>
      <c r="D517" t="s">
        <v>293</v>
      </c>
      <c r="E517" t="s">
        <v>152</v>
      </c>
      <c r="G517">
        <v>0</v>
      </c>
      <c r="H517">
        <v>3</v>
      </c>
      <c r="I517" t="s">
        <v>1208</v>
      </c>
      <c r="J517" t="s">
        <v>1188</v>
      </c>
    </row>
    <row r="518" spans="1:10" x14ac:dyDescent="0.35">
      <c r="A518">
        <v>57261</v>
      </c>
      <c r="B518" t="s">
        <v>149</v>
      </c>
      <c r="C518" t="s">
        <v>1209</v>
      </c>
      <c r="D518" t="s">
        <v>293</v>
      </c>
      <c r="E518" t="s">
        <v>152</v>
      </c>
      <c r="G518">
        <v>0</v>
      </c>
      <c r="H518">
        <v>3</v>
      </c>
      <c r="I518" t="s">
        <v>1210</v>
      </c>
      <c r="J518" t="s">
        <v>1188</v>
      </c>
    </row>
    <row r="519" spans="1:10" x14ac:dyDescent="0.35">
      <c r="A519">
        <v>57262</v>
      </c>
      <c r="B519" t="s">
        <v>149</v>
      </c>
      <c r="C519" t="s">
        <v>1211</v>
      </c>
      <c r="D519" t="s">
        <v>293</v>
      </c>
      <c r="E519" t="s">
        <v>152</v>
      </c>
      <c r="G519">
        <v>0</v>
      </c>
      <c r="H519">
        <v>3</v>
      </c>
      <c r="I519" t="s">
        <v>1212</v>
      </c>
      <c r="J519" t="s">
        <v>1188</v>
      </c>
    </row>
    <row r="520" spans="1:10" x14ac:dyDescent="0.35">
      <c r="A520">
        <v>57263</v>
      </c>
      <c r="B520" t="s">
        <v>149</v>
      </c>
      <c r="C520" t="s">
        <v>1213</v>
      </c>
      <c r="D520" t="s">
        <v>293</v>
      </c>
      <c r="E520" t="s">
        <v>152</v>
      </c>
      <c r="G520">
        <v>1</v>
      </c>
      <c r="H520">
        <v>3</v>
      </c>
      <c r="I520" t="s">
        <v>1214</v>
      </c>
      <c r="J520" t="s">
        <v>1188</v>
      </c>
    </row>
    <row r="521" spans="1:10" x14ac:dyDescent="0.35">
      <c r="A521">
        <v>57269</v>
      </c>
      <c r="B521" t="s">
        <v>149</v>
      </c>
      <c r="C521" t="s">
        <v>1215</v>
      </c>
      <c r="D521" t="s">
        <v>151</v>
      </c>
      <c r="E521" t="s">
        <v>152</v>
      </c>
      <c r="G521">
        <v>0</v>
      </c>
      <c r="H521">
        <v>4</v>
      </c>
      <c r="I521" t="s">
        <v>1216</v>
      </c>
      <c r="J521" t="s">
        <v>1217</v>
      </c>
    </row>
    <row r="522" spans="1:10" x14ac:dyDescent="0.35">
      <c r="A522">
        <v>57287</v>
      </c>
      <c r="B522" t="s">
        <v>149</v>
      </c>
      <c r="C522" t="s">
        <v>1218</v>
      </c>
      <c r="D522" t="s">
        <v>176</v>
      </c>
      <c r="E522" t="s">
        <v>152</v>
      </c>
      <c r="G522">
        <v>0</v>
      </c>
      <c r="H522">
        <v>8</v>
      </c>
      <c r="I522" t="s">
        <v>1219</v>
      </c>
      <c r="J522" t="s">
        <v>1217</v>
      </c>
    </row>
    <row r="523" spans="1:10" x14ac:dyDescent="0.35">
      <c r="A523">
        <v>57316</v>
      </c>
      <c r="B523" t="s">
        <v>149</v>
      </c>
      <c r="C523" t="s">
        <v>1220</v>
      </c>
      <c r="D523" t="s">
        <v>151</v>
      </c>
      <c r="E523" t="s">
        <v>152</v>
      </c>
      <c r="G523">
        <v>0</v>
      </c>
      <c r="H523">
        <v>4</v>
      </c>
      <c r="I523" t="s">
        <v>1221</v>
      </c>
      <c r="J523" t="s">
        <v>1217</v>
      </c>
    </row>
    <row r="524" spans="1:10" x14ac:dyDescent="0.35">
      <c r="A524">
        <v>57327</v>
      </c>
      <c r="B524" t="s">
        <v>149</v>
      </c>
      <c r="C524" t="s">
        <v>1222</v>
      </c>
      <c r="D524" t="s">
        <v>176</v>
      </c>
      <c r="E524" t="s">
        <v>152</v>
      </c>
      <c r="G524">
        <v>1</v>
      </c>
      <c r="H524">
        <v>1</v>
      </c>
      <c r="I524" t="s">
        <v>1223</v>
      </c>
      <c r="J524" t="s">
        <v>899</v>
      </c>
    </row>
    <row r="525" spans="1:10" x14ac:dyDescent="0.35">
      <c r="A525">
        <v>57333</v>
      </c>
      <c r="B525" t="s">
        <v>149</v>
      </c>
      <c r="C525" t="s">
        <v>1224</v>
      </c>
      <c r="D525" t="s">
        <v>176</v>
      </c>
      <c r="E525" t="s">
        <v>152</v>
      </c>
      <c r="G525">
        <v>1</v>
      </c>
      <c r="H525">
        <v>1</v>
      </c>
      <c r="I525" t="s">
        <v>1225</v>
      </c>
      <c r="J525" t="s">
        <v>1217</v>
      </c>
    </row>
    <row r="526" spans="1:10" x14ac:dyDescent="0.35">
      <c r="A526">
        <v>57334</v>
      </c>
      <c r="B526" t="s">
        <v>149</v>
      </c>
      <c r="C526" t="s">
        <v>1226</v>
      </c>
      <c r="D526" t="s">
        <v>552</v>
      </c>
      <c r="E526" t="s">
        <v>152</v>
      </c>
      <c r="G526">
        <v>0</v>
      </c>
      <c r="H526">
        <v>8</v>
      </c>
      <c r="I526" t="s">
        <v>1227</v>
      </c>
      <c r="J526" t="s">
        <v>736</v>
      </c>
    </row>
    <row r="527" spans="1:10" x14ac:dyDescent="0.35">
      <c r="A527">
        <v>57337</v>
      </c>
      <c r="B527" t="s">
        <v>149</v>
      </c>
      <c r="C527" t="s">
        <v>1228</v>
      </c>
      <c r="D527" t="s">
        <v>945</v>
      </c>
      <c r="E527" t="s">
        <v>152</v>
      </c>
      <c r="G527">
        <v>1</v>
      </c>
      <c r="H527">
        <v>1</v>
      </c>
      <c r="I527" t="s">
        <v>1229</v>
      </c>
      <c r="J527" t="s">
        <v>947</v>
      </c>
    </row>
    <row r="528" spans="1:10" x14ac:dyDescent="0.35">
      <c r="A528">
        <v>57338</v>
      </c>
      <c r="B528" t="s">
        <v>149</v>
      </c>
      <c r="C528" t="s">
        <v>1230</v>
      </c>
      <c r="D528" t="s">
        <v>945</v>
      </c>
      <c r="E528" t="s">
        <v>152</v>
      </c>
      <c r="G528">
        <v>0</v>
      </c>
      <c r="H528">
        <v>3</v>
      </c>
      <c r="I528" t="s">
        <v>1231</v>
      </c>
      <c r="J528" t="s">
        <v>947</v>
      </c>
    </row>
    <row r="529" spans="1:10" x14ac:dyDescent="0.35">
      <c r="A529">
        <v>57339</v>
      </c>
      <c r="B529" t="s">
        <v>149</v>
      </c>
      <c r="C529" t="s">
        <v>1232</v>
      </c>
      <c r="D529" t="s">
        <v>945</v>
      </c>
      <c r="E529" t="s">
        <v>152</v>
      </c>
      <c r="G529">
        <v>0</v>
      </c>
      <c r="H529">
        <v>3</v>
      </c>
      <c r="I529" t="s">
        <v>1233</v>
      </c>
      <c r="J529" t="s">
        <v>998</v>
      </c>
    </row>
    <row r="530" spans="1:10" x14ac:dyDescent="0.35">
      <c r="A530">
        <v>57340</v>
      </c>
      <c r="B530" t="s">
        <v>149</v>
      </c>
      <c r="C530" t="s">
        <v>1234</v>
      </c>
      <c r="D530" t="s">
        <v>945</v>
      </c>
      <c r="E530" t="s">
        <v>152</v>
      </c>
      <c r="G530">
        <v>0</v>
      </c>
      <c r="H530">
        <v>3</v>
      </c>
      <c r="I530" t="s">
        <v>1235</v>
      </c>
      <c r="J530" t="s">
        <v>998</v>
      </c>
    </row>
    <row r="531" spans="1:10" x14ac:dyDescent="0.35">
      <c r="A531">
        <v>57341</v>
      </c>
      <c r="B531" t="s">
        <v>149</v>
      </c>
      <c r="C531" t="s">
        <v>1236</v>
      </c>
      <c r="D531" t="s">
        <v>945</v>
      </c>
      <c r="E531" t="s">
        <v>152</v>
      </c>
      <c r="G531">
        <v>0</v>
      </c>
      <c r="H531">
        <v>3</v>
      </c>
      <c r="I531" t="s">
        <v>1237</v>
      </c>
      <c r="J531" t="s">
        <v>998</v>
      </c>
    </row>
    <row r="532" spans="1:10" x14ac:dyDescent="0.35">
      <c r="A532">
        <v>57342</v>
      </c>
      <c r="B532" t="s">
        <v>149</v>
      </c>
      <c r="C532" t="s">
        <v>1238</v>
      </c>
      <c r="D532" t="s">
        <v>945</v>
      </c>
      <c r="E532" t="s">
        <v>152</v>
      </c>
      <c r="G532">
        <v>0</v>
      </c>
      <c r="H532">
        <v>8</v>
      </c>
      <c r="I532" t="s">
        <v>1239</v>
      </c>
      <c r="J532" t="s">
        <v>998</v>
      </c>
    </row>
    <row r="533" spans="1:10" x14ac:dyDescent="0.35">
      <c r="A533">
        <v>57344</v>
      </c>
      <c r="B533" t="s">
        <v>149</v>
      </c>
      <c r="C533" t="s">
        <v>1240</v>
      </c>
      <c r="D533" t="s">
        <v>185</v>
      </c>
      <c r="E533" t="s">
        <v>152</v>
      </c>
      <c r="G533">
        <v>0</v>
      </c>
      <c r="H533">
        <v>1</v>
      </c>
      <c r="I533" t="s">
        <v>1241</v>
      </c>
      <c r="J533" t="s">
        <v>183</v>
      </c>
    </row>
    <row r="534" spans="1:10" x14ac:dyDescent="0.35">
      <c r="A534">
        <v>57345</v>
      </c>
      <c r="B534" t="s">
        <v>149</v>
      </c>
      <c r="C534" t="s">
        <v>1242</v>
      </c>
      <c r="D534" t="s">
        <v>185</v>
      </c>
      <c r="E534" t="s">
        <v>152</v>
      </c>
      <c r="G534">
        <v>0</v>
      </c>
      <c r="H534">
        <v>2</v>
      </c>
      <c r="I534" t="s">
        <v>1243</v>
      </c>
      <c r="J534" t="s">
        <v>183</v>
      </c>
    </row>
    <row r="535" spans="1:10" x14ac:dyDescent="0.35">
      <c r="A535">
        <v>57346</v>
      </c>
      <c r="B535" t="s">
        <v>149</v>
      </c>
      <c r="C535" t="s">
        <v>1244</v>
      </c>
      <c r="D535" t="s">
        <v>185</v>
      </c>
      <c r="E535" t="s">
        <v>152</v>
      </c>
      <c r="G535">
        <v>0</v>
      </c>
      <c r="H535">
        <v>1</v>
      </c>
      <c r="I535" t="s">
        <v>1245</v>
      </c>
      <c r="J535" t="s">
        <v>187</v>
      </c>
    </row>
    <row r="536" spans="1:10" x14ac:dyDescent="0.35">
      <c r="A536">
        <v>57347</v>
      </c>
      <c r="B536" t="s">
        <v>149</v>
      </c>
      <c r="C536" t="s">
        <v>1246</v>
      </c>
      <c r="D536" t="s">
        <v>185</v>
      </c>
      <c r="E536" t="s">
        <v>152</v>
      </c>
      <c r="G536">
        <v>0</v>
      </c>
      <c r="H536">
        <v>1</v>
      </c>
      <c r="I536" t="s">
        <v>1247</v>
      </c>
      <c r="J536" t="s">
        <v>187</v>
      </c>
    </row>
    <row r="537" spans="1:10" x14ac:dyDescent="0.35">
      <c r="A537">
        <v>57348</v>
      </c>
      <c r="B537" t="s">
        <v>149</v>
      </c>
      <c r="C537" t="s">
        <v>1248</v>
      </c>
      <c r="D537" t="s">
        <v>185</v>
      </c>
      <c r="E537" t="s">
        <v>152</v>
      </c>
      <c r="G537">
        <v>0</v>
      </c>
      <c r="H537">
        <v>2</v>
      </c>
      <c r="I537" t="s">
        <v>1249</v>
      </c>
      <c r="J537" t="s">
        <v>187</v>
      </c>
    </row>
    <row r="538" spans="1:10" x14ac:dyDescent="0.35">
      <c r="A538">
        <v>57349</v>
      </c>
      <c r="B538" t="s">
        <v>149</v>
      </c>
      <c r="C538" t="s">
        <v>1250</v>
      </c>
      <c r="D538" t="s">
        <v>280</v>
      </c>
      <c r="E538" t="s">
        <v>152</v>
      </c>
      <c r="G538">
        <v>1</v>
      </c>
      <c r="H538">
        <v>0.5</v>
      </c>
      <c r="I538" t="s">
        <v>1251</v>
      </c>
      <c r="J538" t="s">
        <v>187</v>
      </c>
    </row>
    <row r="539" spans="1:10" x14ac:dyDescent="0.35">
      <c r="A539">
        <v>57350</v>
      </c>
      <c r="B539" t="s">
        <v>149</v>
      </c>
      <c r="C539" t="s">
        <v>1252</v>
      </c>
      <c r="D539" t="s">
        <v>280</v>
      </c>
      <c r="E539" t="s">
        <v>152</v>
      </c>
      <c r="G539">
        <v>1</v>
      </c>
      <c r="H539">
        <v>0.5</v>
      </c>
      <c r="I539" t="s">
        <v>1253</v>
      </c>
      <c r="J539" t="s">
        <v>187</v>
      </c>
    </row>
    <row r="540" spans="1:10" x14ac:dyDescent="0.35">
      <c r="A540">
        <v>57351</v>
      </c>
      <c r="B540" t="s">
        <v>149</v>
      </c>
      <c r="C540" t="s">
        <v>1254</v>
      </c>
      <c r="D540" t="s">
        <v>280</v>
      </c>
      <c r="E540" t="s">
        <v>152</v>
      </c>
      <c r="G540">
        <v>1</v>
      </c>
      <c r="H540">
        <v>0.5</v>
      </c>
      <c r="I540" t="s">
        <v>1255</v>
      </c>
      <c r="J540" t="s">
        <v>187</v>
      </c>
    </row>
    <row r="541" spans="1:10" x14ac:dyDescent="0.35">
      <c r="A541">
        <v>57352</v>
      </c>
      <c r="B541" t="s">
        <v>149</v>
      </c>
      <c r="C541" t="s">
        <v>1256</v>
      </c>
      <c r="D541" t="s">
        <v>280</v>
      </c>
      <c r="E541" t="s">
        <v>152</v>
      </c>
      <c r="G541">
        <v>1</v>
      </c>
      <c r="H541">
        <v>0.5</v>
      </c>
      <c r="I541" t="s">
        <v>1257</v>
      </c>
      <c r="J541" t="s">
        <v>187</v>
      </c>
    </row>
    <row r="542" spans="1:10" x14ac:dyDescent="0.35">
      <c r="A542">
        <v>57353</v>
      </c>
      <c r="B542" t="s">
        <v>149</v>
      </c>
      <c r="C542" t="s">
        <v>1258</v>
      </c>
      <c r="D542" t="s">
        <v>280</v>
      </c>
      <c r="E542" t="s">
        <v>152</v>
      </c>
      <c r="G542">
        <v>1</v>
      </c>
      <c r="H542">
        <v>0.5</v>
      </c>
      <c r="I542" t="s">
        <v>1259</v>
      </c>
      <c r="J542" t="s">
        <v>187</v>
      </c>
    </row>
    <row r="543" spans="1:10" x14ac:dyDescent="0.35">
      <c r="A543">
        <v>57354</v>
      </c>
      <c r="B543" t="s">
        <v>149</v>
      </c>
      <c r="C543" t="s">
        <v>1260</v>
      </c>
      <c r="D543" t="s">
        <v>280</v>
      </c>
      <c r="E543" t="s">
        <v>152</v>
      </c>
      <c r="G543">
        <v>1</v>
      </c>
      <c r="H543">
        <v>0.5</v>
      </c>
      <c r="I543" t="s">
        <v>1261</v>
      </c>
      <c r="J543" t="s">
        <v>187</v>
      </c>
    </row>
    <row r="544" spans="1:10" x14ac:dyDescent="0.35">
      <c r="A544">
        <v>57355</v>
      </c>
      <c r="B544" t="s">
        <v>149</v>
      </c>
      <c r="C544" t="s">
        <v>1262</v>
      </c>
      <c r="D544" t="s">
        <v>280</v>
      </c>
      <c r="E544" t="s">
        <v>152</v>
      </c>
      <c r="G544">
        <v>1</v>
      </c>
      <c r="H544">
        <v>0.5</v>
      </c>
      <c r="I544" t="s">
        <v>1263</v>
      </c>
      <c r="J544" t="s">
        <v>187</v>
      </c>
    </row>
    <row r="545" spans="1:10" x14ac:dyDescent="0.35">
      <c r="A545">
        <v>57356</v>
      </c>
      <c r="B545" t="s">
        <v>149</v>
      </c>
      <c r="C545" t="s">
        <v>1264</v>
      </c>
      <c r="D545" t="s">
        <v>280</v>
      </c>
      <c r="E545" t="s">
        <v>152</v>
      </c>
      <c r="G545">
        <v>1</v>
      </c>
      <c r="H545">
        <v>0.5</v>
      </c>
      <c r="I545" t="s">
        <v>1265</v>
      </c>
      <c r="J545" t="s">
        <v>187</v>
      </c>
    </row>
    <row r="546" spans="1:10" x14ac:dyDescent="0.35">
      <c r="A546">
        <v>57357</v>
      </c>
      <c r="B546" t="s">
        <v>149</v>
      </c>
      <c r="C546" t="s">
        <v>1266</v>
      </c>
      <c r="D546" t="s">
        <v>280</v>
      </c>
      <c r="E546" t="s">
        <v>152</v>
      </c>
      <c r="G546">
        <v>1</v>
      </c>
      <c r="H546">
        <v>0.5</v>
      </c>
      <c r="I546" t="s">
        <v>1267</v>
      </c>
      <c r="J546" t="s">
        <v>187</v>
      </c>
    </row>
    <row r="547" spans="1:10" x14ac:dyDescent="0.35">
      <c r="A547">
        <v>57358</v>
      </c>
      <c r="B547" t="s">
        <v>149</v>
      </c>
      <c r="C547" t="s">
        <v>1268</v>
      </c>
      <c r="D547" t="s">
        <v>429</v>
      </c>
      <c r="E547" t="s">
        <v>152</v>
      </c>
      <c r="G547">
        <v>0</v>
      </c>
      <c r="H547">
        <v>0.25</v>
      </c>
      <c r="I547" t="s">
        <v>1269</v>
      </c>
      <c r="J547" t="s">
        <v>201</v>
      </c>
    </row>
    <row r="548" spans="1:10" x14ac:dyDescent="0.35">
      <c r="A548">
        <v>57359</v>
      </c>
      <c r="B548" t="s">
        <v>149</v>
      </c>
      <c r="C548" t="s">
        <v>1270</v>
      </c>
      <c r="D548" t="s">
        <v>429</v>
      </c>
      <c r="E548" t="s">
        <v>152</v>
      </c>
      <c r="G548">
        <v>0</v>
      </c>
      <c r="H548">
        <v>0.15</v>
      </c>
      <c r="I548" t="s">
        <v>1271</v>
      </c>
      <c r="J548" t="s">
        <v>201</v>
      </c>
    </row>
    <row r="549" spans="1:10" x14ac:dyDescent="0.35">
      <c r="A549">
        <v>57360</v>
      </c>
      <c r="B549" t="s">
        <v>149</v>
      </c>
      <c r="C549" t="s">
        <v>1272</v>
      </c>
      <c r="D549" t="s">
        <v>429</v>
      </c>
      <c r="E549" t="s">
        <v>152</v>
      </c>
      <c r="G549">
        <v>0</v>
      </c>
      <c r="H549">
        <v>0.15</v>
      </c>
      <c r="I549" t="s">
        <v>1273</v>
      </c>
      <c r="J549" t="s">
        <v>201</v>
      </c>
    </row>
    <row r="550" spans="1:10" x14ac:dyDescent="0.35">
      <c r="A550">
        <v>57361</v>
      </c>
      <c r="B550" t="s">
        <v>149</v>
      </c>
      <c r="C550" t="s">
        <v>1274</v>
      </c>
      <c r="D550" t="s">
        <v>429</v>
      </c>
      <c r="E550" t="s">
        <v>152</v>
      </c>
      <c r="G550">
        <v>0</v>
      </c>
      <c r="H550">
        <v>0.15</v>
      </c>
      <c r="I550" t="s">
        <v>1275</v>
      </c>
      <c r="J550" t="s">
        <v>201</v>
      </c>
    </row>
    <row r="551" spans="1:10" x14ac:dyDescent="0.35">
      <c r="A551">
        <v>57362</v>
      </c>
      <c r="B551" t="s">
        <v>149</v>
      </c>
      <c r="C551" t="s">
        <v>1276</v>
      </c>
      <c r="D551" t="s">
        <v>429</v>
      </c>
      <c r="E551" t="s">
        <v>152</v>
      </c>
      <c r="G551">
        <v>0</v>
      </c>
      <c r="H551">
        <v>0.15</v>
      </c>
      <c r="I551" t="s">
        <v>1277</v>
      </c>
      <c r="J551" t="s">
        <v>201</v>
      </c>
    </row>
    <row r="552" spans="1:10" x14ac:dyDescent="0.35">
      <c r="A552">
        <v>57363</v>
      </c>
      <c r="B552" t="s">
        <v>149</v>
      </c>
      <c r="C552" t="s">
        <v>1278</v>
      </c>
      <c r="D552" t="s">
        <v>429</v>
      </c>
      <c r="E552" t="s">
        <v>152</v>
      </c>
      <c r="G552">
        <v>0</v>
      </c>
      <c r="H552">
        <v>0.3</v>
      </c>
      <c r="I552" t="s">
        <v>1279</v>
      </c>
      <c r="J552" t="s">
        <v>201</v>
      </c>
    </row>
    <row r="553" spans="1:10" x14ac:dyDescent="0.35">
      <c r="A553">
        <v>57364</v>
      </c>
      <c r="B553" t="s">
        <v>149</v>
      </c>
      <c r="C553" t="s">
        <v>1280</v>
      </c>
      <c r="D553" t="s">
        <v>203</v>
      </c>
      <c r="E553" t="s">
        <v>152</v>
      </c>
      <c r="G553">
        <v>1</v>
      </c>
      <c r="H553">
        <v>4</v>
      </c>
      <c r="I553" t="s">
        <v>1281</v>
      </c>
      <c r="J553" t="s">
        <v>183</v>
      </c>
    </row>
    <row r="554" spans="1:10" x14ac:dyDescent="0.35">
      <c r="A554">
        <v>57365</v>
      </c>
      <c r="B554" t="s">
        <v>149</v>
      </c>
      <c r="C554" t="s">
        <v>1282</v>
      </c>
      <c r="D554" t="s">
        <v>203</v>
      </c>
      <c r="E554" t="s">
        <v>152</v>
      </c>
      <c r="G554">
        <v>0</v>
      </c>
      <c r="H554">
        <v>4</v>
      </c>
      <c r="I554" t="s">
        <v>1283</v>
      </c>
      <c r="J554" t="s">
        <v>201</v>
      </c>
    </row>
    <row r="555" spans="1:10" x14ac:dyDescent="0.35">
      <c r="A555">
        <v>57369</v>
      </c>
      <c r="B555" t="s">
        <v>149</v>
      </c>
      <c r="C555" t="s">
        <v>1284</v>
      </c>
      <c r="D555" t="s">
        <v>176</v>
      </c>
      <c r="E555" t="s">
        <v>152</v>
      </c>
      <c r="G555">
        <v>0</v>
      </c>
      <c r="H555">
        <v>1</v>
      </c>
      <c r="I555" t="s">
        <v>1285</v>
      </c>
      <c r="J555" t="s">
        <v>1286</v>
      </c>
    </row>
    <row r="556" spans="1:10" x14ac:dyDescent="0.35">
      <c r="A556">
        <v>57371</v>
      </c>
      <c r="B556" t="s">
        <v>149</v>
      </c>
      <c r="C556" t="s">
        <v>1287</v>
      </c>
      <c r="D556" t="s">
        <v>176</v>
      </c>
      <c r="E556" t="s">
        <v>152</v>
      </c>
      <c r="G556">
        <v>0</v>
      </c>
      <c r="H556">
        <v>1</v>
      </c>
      <c r="I556" t="s">
        <v>1288</v>
      </c>
      <c r="J556" t="s">
        <v>1286</v>
      </c>
    </row>
    <row r="557" spans="1:10" x14ac:dyDescent="0.35">
      <c r="A557">
        <v>57372</v>
      </c>
      <c r="B557" t="s">
        <v>149</v>
      </c>
      <c r="C557" t="s">
        <v>1289</v>
      </c>
      <c r="D557" t="s">
        <v>176</v>
      </c>
      <c r="E557" t="s">
        <v>152</v>
      </c>
      <c r="G557">
        <v>0</v>
      </c>
      <c r="H557">
        <v>1</v>
      </c>
      <c r="I557" t="s">
        <v>1290</v>
      </c>
      <c r="J557" t="s">
        <v>1286</v>
      </c>
    </row>
    <row r="558" spans="1:10" x14ac:dyDescent="0.35">
      <c r="A558">
        <v>57373</v>
      </c>
      <c r="B558" t="s">
        <v>149</v>
      </c>
      <c r="C558" t="s">
        <v>1291</v>
      </c>
      <c r="D558" t="s">
        <v>185</v>
      </c>
      <c r="E558" t="s">
        <v>152</v>
      </c>
      <c r="G558">
        <v>1</v>
      </c>
      <c r="H558">
        <v>5</v>
      </c>
      <c r="I558" t="s">
        <v>1292</v>
      </c>
      <c r="J558" t="s">
        <v>1293</v>
      </c>
    </row>
    <row r="559" spans="1:10" x14ac:dyDescent="0.35">
      <c r="A559">
        <v>57374</v>
      </c>
      <c r="B559" t="s">
        <v>149</v>
      </c>
      <c r="C559" t="s">
        <v>1294</v>
      </c>
      <c r="D559" t="s">
        <v>185</v>
      </c>
      <c r="E559" t="s">
        <v>152</v>
      </c>
      <c r="G559">
        <v>1</v>
      </c>
      <c r="H559">
        <v>4</v>
      </c>
      <c r="I559" t="s">
        <v>1295</v>
      </c>
      <c r="J559" t="s">
        <v>1293</v>
      </c>
    </row>
    <row r="560" spans="1:10" x14ac:dyDescent="0.35">
      <c r="A560">
        <v>57375</v>
      </c>
      <c r="B560" t="s">
        <v>149</v>
      </c>
      <c r="C560" t="s">
        <v>1296</v>
      </c>
      <c r="D560" t="s">
        <v>429</v>
      </c>
      <c r="E560" t="s">
        <v>152</v>
      </c>
      <c r="G560">
        <v>0</v>
      </c>
      <c r="H560">
        <v>5</v>
      </c>
      <c r="I560" t="s">
        <v>1297</v>
      </c>
      <c r="J560" t="s">
        <v>1217</v>
      </c>
    </row>
    <row r="561" spans="1:10" x14ac:dyDescent="0.35">
      <c r="A561">
        <v>57378</v>
      </c>
      <c r="B561" t="s">
        <v>149</v>
      </c>
      <c r="C561" t="s">
        <v>1298</v>
      </c>
      <c r="D561" t="s">
        <v>176</v>
      </c>
      <c r="E561" t="s">
        <v>152</v>
      </c>
      <c r="G561">
        <v>0</v>
      </c>
      <c r="H561">
        <v>1</v>
      </c>
      <c r="I561" t="s">
        <v>1299</v>
      </c>
      <c r="J561" t="s">
        <v>1286</v>
      </c>
    </row>
    <row r="562" spans="1:10" x14ac:dyDescent="0.35">
      <c r="A562">
        <v>57379</v>
      </c>
      <c r="B562" t="s">
        <v>149</v>
      </c>
      <c r="C562" t="s">
        <v>1300</v>
      </c>
      <c r="D562" t="s">
        <v>429</v>
      </c>
      <c r="E562" t="s">
        <v>152</v>
      </c>
      <c r="G562">
        <v>0</v>
      </c>
      <c r="H562">
        <v>1.5</v>
      </c>
      <c r="I562" t="s">
        <v>1301</v>
      </c>
      <c r="J562" t="s">
        <v>1302</v>
      </c>
    </row>
    <row r="563" spans="1:10" x14ac:dyDescent="0.35">
      <c r="A563">
        <v>57380</v>
      </c>
      <c r="B563" t="s">
        <v>149</v>
      </c>
      <c r="C563" t="s">
        <v>1303</v>
      </c>
      <c r="D563" t="s">
        <v>429</v>
      </c>
      <c r="E563" t="s">
        <v>152</v>
      </c>
      <c r="G563">
        <v>0</v>
      </c>
      <c r="H563">
        <v>4</v>
      </c>
      <c r="I563" t="s">
        <v>1304</v>
      </c>
      <c r="J563" t="s">
        <v>1302</v>
      </c>
    </row>
    <row r="564" spans="1:10" x14ac:dyDescent="0.35">
      <c r="A564">
        <v>57381</v>
      </c>
      <c r="B564" t="s">
        <v>149</v>
      </c>
      <c r="C564" t="s">
        <v>1305</v>
      </c>
      <c r="D564" t="s">
        <v>429</v>
      </c>
      <c r="E564" t="s">
        <v>152</v>
      </c>
      <c r="G564">
        <v>0</v>
      </c>
      <c r="H564">
        <v>2.5</v>
      </c>
      <c r="I564" t="s">
        <v>1306</v>
      </c>
      <c r="J564" t="s">
        <v>1302</v>
      </c>
    </row>
    <row r="565" spans="1:10" x14ac:dyDescent="0.35">
      <c r="A565">
        <v>57382</v>
      </c>
      <c r="B565" t="s">
        <v>149</v>
      </c>
      <c r="C565" t="s">
        <v>1307</v>
      </c>
      <c r="D565" t="s">
        <v>176</v>
      </c>
      <c r="E565" t="s">
        <v>152</v>
      </c>
      <c r="G565">
        <v>0</v>
      </c>
      <c r="H565">
        <v>1</v>
      </c>
      <c r="I565" t="s">
        <v>1308</v>
      </c>
      <c r="J565" t="s">
        <v>1286</v>
      </c>
    </row>
    <row r="566" spans="1:10" x14ac:dyDescent="0.35">
      <c r="A566">
        <v>57384</v>
      </c>
      <c r="B566" t="s">
        <v>149</v>
      </c>
      <c r="C566" t="s">
        <v>1309</v>
      </c>
      <c r="D566" t="s">
        <v>176</v>
      </c>
      <c r="E566" t="s">
        <v>152</v>
      </c>
      <c r="G566">
        <v>0</v>
      </c>
      <c r="H566">
        <v>1</v>
      </c>
      <c r="I566" t="s">
        <v>1310</v>
      </c>
      <c r="J566" t="s">
        <v>1286</v>
      </c>
    </row>
    <row r="567" spans="1:10" x14ac:dyDescent="0.35">
      <c r="A567">
        <v>57387</v>
      </c>
      <c r="B567" t="s">
        <v>149</v>
      </c>
      <c r="C567" t="s">
        <v>1311</v>
      </c>
      <c r="D567" t="s">
        <v>293</v>
      </c>
      <c r="E567" t="s">
        <v>152</v>
      </c>
      <c r="G567">
        <v>0</v>
      </c>
      <c r="H567">
        <v>2</v>
      </c>
      <c r="I567" t="s">
        <v>1312</v>
      </c>
      <c r="J567" t="s">
        <v>736</v>
      </c>
    </row>
    <row r="568" spans="1:10" x14ac:dyDescent="0.35">
      <c r="A568">
        <v>57393</v>
      </c>
      <c r="B568" t="s">
        <v>149</v>
      </c>
      <c r="C568" t="s">
        <v>1313</v>
      </c>
      <c r="D568" t="s">
        <v>176</v>
      </c>
      <c r="E568" t="s">
        <v>152</v>
      </c>
      <c r="G568">
        <v>0</v>
      </c>
      <c r="H568">
        <v>2</v>
      </c>
      <c r="I568" t="s">
        <v>1314</v>
      </c>
      <c r="J568" t="s">
        <v>1286</v>
      </c>
    </row>
    <row r="569" spans="1:10" x14ac:dyDescent="0.35">
      <c r="A569">
        <v>57407</v>
      </c>
      <c r="B569" t="s">
        <v>149</v>
      </c>
      <c r="C569" t="s">
        <v>1315</v>
      </c>
      <c r="D569" t="s">
        <v>945</v>
      </c>
      <c r="E569" t="s">
        <v>152</v>
      </c>
      <c r="G569">
        <v>0</v>
      </c>
      <c r="H569">
        <v>3</v>
      </c>
      <c r="I569" t="s">
        <v>1316</v>
      </c>
      <c r="J569" t="s">
        <v>998</v>
      </c>
    </row>
    <row r="570" spans="1:10" x14ac:dyDescent="0.35">
      <c r="A570">
        <v>57417</v>
      </c>
      <c r="B570" t="s">
        <v>149</v>
      </c>
      <c r="C570" t="s">
        <v>1317</v>
      </c>
      <c r="D570" t="s">
        <v>185</v>
      </c>
      <c r="E570" t="s">
        <v>152</v>
      </c>
      <c r="G570">
        <v>1</v>
      </c>
      <c r="H570">
        <v>1</v>
      </c>
      <c r="I570" t="s">
        <v>1318</v>
      </c>
      <c r="J570" t="s">
        <v>1293</v>
      </c>
    </row>
    <row r="571" spans="1:10" x14ac:dyDescent="0.35">
      <c r="A571">
        <v>57426</v>
      </c>
      <c r="B571" t="s">
        <v>149</v>
      </c>
      <c r="C571" t="s">
        <v>1319</v>
      </c>
      <c r="D571" t="s">
        <v>280</v>
      </c>
      <c r="E571" t="s">
        <v>152</v>
      </c>
      <c r="G571">
        <v>0</v>
      </c>
      <c r="H571">
        <v>1</v>
      </c>
      <c r="I571" t="s">
        <v>1320</v>
      </c>
      <c r="J571" t="s">
        <v>201</v>
      </c>
    </row>
    <row r="572" spans="1:10" x14ac:dyDescent="0.35">
      <c r="A572">
        <v>57427</v>
      </c>
      <c r="B572" t="s">
        <v>149</v>
      </c>
      <c r="C572" t="s">
        <v>1321</v>
      </c>
      <c r="D572" t="s">
        <v>280</v>
      </c>
      <c r="E572" t="s">
        <v>152</v>
      </c>
      <c r="G572">
        <v>0</v>
      </c>
      <c r="H572">
        <v>1</v>
      </c>
      <c r="I572" t="s">
        <v>1322</v>
      </c>
      <c r="J572" t="s">
        <v>201</v>
      </c>
    </row>
    <row r="573" spans="1:10" x14ac:dyDescent="0.35">
      <c r="A573">
        <v>57428</v>
      </c>
      <c r="B573" t="s">
        <v>149</v>
      </c>
      <c r="C573" t="s">
        <v>1323</v>
      </c>
      <c r="D573" t="s">
        <v>280</v>
      </c>
      <c r="E573" t="s">
        <v>152</v>
      </c>
      <c r="G573">
        <v>0</v>
      </c>
      <c r="H573">
        <v>1</v>
      </c>
      <c r="I573" t="s">
        <v>1324</v>
      </c>
      <c r="J573" t="s">
        <v>201</v>
      </c>
    </row>
    <row r="574" spans="1:10" x14ac:dyDescent="0.35">
      <c r="A574">
        <v>57429</v>
      </c>
      <c r="B574" t="s">
        <v>149</v>
      </c>
      <c r="C574" t="s">
        <v>1325</v>
      </c>
      <c r="D574" t="s">
        <v>280</v>
      </c>
      <c r="E574" t="s">
        <v>152</v>
      </c>
      <c r="G574">
        <v>0</v>
      </c>
      <c r="H574">
        <v>1</v>
      </c>
      <c r="I574" t="s">
        <v>1326</v>
      </c>
      <c r="J574" t="s">
        <v>201</v>
      </c>
    </row>
    <row r="575" spans="1:10" x14ac:dyDescent="0.35">
      <c r="A575">
        <v>57430</v>
      </c>
      <c r="B575" t="s">
        <v>149</v>
      </c>
      <c r="C575" t="s">
        <v>1327</v>
      </c>
      <c r="D575" t="s">
        <v>280</v>
      </c>
      <c r="E575" t="s">
        <v>152</v>
      </c>
      <c r="G575">
        <v>0</v>
      </c>
      <c r="H575">
        <v>1</v>
      </c>
      <c r="I575" t="s">
        <v>1328</v>
      </c>
      <c r="J575" t="s">
        <v>201</v>
      </c>
    </row>
    <row r="576" spans="1:10" x14ac:dyDescent="0.35">
      <c r="A576">
        <v>57456</v>
      </c>
      <c r="B576" t="s">
        <v>149</v>
      </c>
      <c r="C576" t="s">
        <v>1329</v>
      </c>
      <c r="D576" t="s">
        <v>176</v>
      </c>
      <c r="E576" t="s">
        <v>152</v>
      </c>
      <c r="G576">
        <v>0</v>
      </c>
      <c r="H576">
        <v>1</v>
      </c>
      <c r="I576" t="s">
        <v>1330</v>
      </c>
      <c r="J576" t="s">
        <v>1286</v>
      </c>
    </row>
    <row r="577" spans="1:10" x14ac:dyDescent="0.35">
      <c r="A577">
        <v>57458</v>
      </c>
      <c r="B577" t="s">
        <v>149</v>
      </c>
      <c r="C577" t="s">
        <v>1331</v>
      </c>
      <c r="D577" t="s">
        <v>176</v>
      </c>
      <c r="E577" t="s">
        <v>152</v>
      </c>
      <c r="G577">
        <v>0</v>
      </c>
      <c r="H577">
        <v>1</v>
      </c>
      <c r="I577" t="s">
        <v>1332</v>
      </c>
      <c r="J577" t="s">
        <v>1286</v>
      </c>
    </row>
    <row r="578" spans="1:10" x14ac:dyDescent="0.35">
      <c r="A578">
        <v>57460</v>
      </c>
      <c r="B578" t="s">
        <v>149</v>
      </c>
      <c r="C578" t="s">
        <v>1333</v>
      </c>
      <c r="D578" t="s">
        <v>176</v>
      </c>
      <c r="E578" t="s">
        <v>152</v>
      </c>
      <c r="G578">
        <v>0</v>
      </c>
      <c r="H578">
        <v>1</v>
      </c>
      <c r="I578" t="s">
        <v>1334</v>
      </c>
      <c r="J578" t="s">
        <v>1286</v>
      </c>
    </row>
    <row r="579" spans="1:10" x14ac:dyDescent="0.35">
      <c r="A579">
        <v>57461</v>
      </c>
      <c r="B579" t="s">
        <v>149</v>
      </c>
      <c r="C579" t="s">
        <v>1335</v>
      </c>
      <c r="D579" t="s">
        <v>176</v>
      </c>
      <c r="E579" t="s">
        <v>152</v>
      </c>
      <c r="G579">
        <v>0</v>
      </c>
      <c r="H579">
        <v>1</v>
      </c>
      <c r="I579" t="s">
        <v>1336</v>
      </c>
      <c r="J579" t="s">
        <v>1286</v>
      </c>
    </row>
    <row r="580" spans="1:10" x14ac:dyDescent="0.35">
      <c r="A580">
        <v>57462</v>
      </c>
      <c r="B580" t="s">
        <v>149</v>
      </c>
      <c r="C580" t="s">
        <v>1337</v>
      </c>
      <c r="D580" t="s">
        <v>185</v>
      </c>
      <c r="E580" t="s">
        <v>152</v>
      </c>
      <c r="G580">
        <v>0</v>
      </c>
      <c r="H580">
        <v>1</v>
      </c>
      <c r="I580" t="s">
        <v>1338</v>
      </c>
      <c r="J580" t="s">
        <v>183</v>
      </c>
    </row>
    <row r="581" spans="1:10" x14ac:dyDescent="0.35">
      <c r="A581">
        <v>57463</v>
      </c>
      <c r="B581" t="s">
        <v>149</v>
      </c>
      <c r="C581" t="s">
        <v>1339</v>
      </c>
      <c r="D581" t="s">
        <v>185</v>
      </c>
      <c r="E581" t="s">
        <v>152</v>
      </c>
      <c r="G581">
        <v>0</v>
      </c>
      <c r="H581">
        <v>1</v>
      </c>
      <c r="I581" t="s">
        <v>1340</v>
      </c>
      <c r="J581" t="s">
        <v>183</v>
      </c>
    </row>
    <row r="582" spans="1:10" x14ac:dyDescent="0.35">
      <c r="A582">
        <v>57464</v>
      </c>
      <c r="B582" t="s">
        <v>149</v>
      </c>
      <c r="C582" t="s">
        <v>1341</v>
      </c>
      <c r="D582" t="s">
        <v>185</v>
      </c>
      <c r="E582" t="s">
        <v>152</v>
      </c>
      <c r="G582">
        <v>0</v>
      </c>
      <c r="H582">
        <v>2</v>
      </c>
      <c r="I582" t="s">
        <v>1342</v>
      </c>
      <c r="J582" t="s">
        <v>201</v>
      </c>
    </row>
    <row r="583" spans="1:10" x14ac:dyDescent="0.35">
      <c r="A583">
        <v>57468</v>
      </c>
      <c r="B583" t="s">
        <v>149</v>
      </c>
      <c r="C583" t="s">
        <v>1343</v>
      </c>
      <c r="D583" t="s">
        <v>151</v>
      </c>
      <c r="E583" t="s">
        <v>152</v>
      </c>
      <c r="G583">
        <v>0</v>
      </c>
      <c r="H583">
        <v>4</v>
      </c>
      <c r="I583" t="s">
        <v>1344</v>
      </c>
      <c r="J583" t="s">
        <v>1217</v>
      </c>
    </row>
    <row r="584" spans="1:10" x14ac:dyDescent="0.35">
      <c r="A584">
        <v>57483</v>
      </c>
      <c r="B584" t="s">
        <v>149</v>
      </c>
      <c r="C584" t="s">
        <v>1345</v>
      </c>
      <c r="D584" t="s">
        <v>429</v>
      </c>
      <c r="E584" t="s">
        <v>152</v>
      </c>
      <c r="G584">
        <v>0</v>
      </c>
      <c r="H584">
        <v>1</v>
      </c>
      <c r="I584" t="s">
        <v>1346</v>
      </c>
      <c r="J584" t="s">
        <v>201</v>
      </c>
    </row>
    <row r="585" spans="1:10" x14ac:dyDescent="0.35">
      <c r="A585">
        <v>57487</v>
      </c>
      <c r="B585" t="s">
        <v>149</v>
      </c>
      <c r="C585" t="s">
        <v>1347</v>
      </c>
      <c r="D585" t="s">
        <v>338</v>
      </c>
      <c r="E585" t="s">
        <v>152</v>
      </c>
      <c r="G585">
        <v>0</v>
      </c>
      <c r="H585">
        <v>2</v>
      </c>
      <c r="I585" t="s">
        <v>1348</v>
      </c>
      <c r="J585" t="s">
        <v>1293</v>
      </c>
    </row>
    <row r="586" spans="1:10" x14ac:dyDescent="0.35">
      <c r="A586">
        <v>57494</v>
      </c>
      <c r="B586" t="s">
        <v>149</v>
      </c>
      <c r="C586" t="s">
        <v>1349</v>
      </c>
      <c r="D586" t="s">
        <v>338</v>
      </c>
      <c r="E586" t="s">
        <v>152</v>
      </c>
      <c r="G586">
        <v>0</v>
      </c>
      <c r="H586">
        <v>3</v>
      </c>
      <c r="I586" t="s">
        <v>1350</v>
      </c>
      <c r="J586" t="s">
        <v>1056</v>
      </c>
    </row>
    <row r="587" spans="1:10" x14ac:dyDescent="0.35">
      <c r="A587">
        <v>57502</v>
      </c>
      <c r="B587" t="s">
        <v>149</v>
      </c>
      <c r="C587" t="s">
        <v>1351</v>
      </c>
      <c r="D587" t="s">
        <v>185</v>
      </c>
      <c r="E587" t="s">
        <v>152</v>
      </c>
      <c r="G587">
        <v>0</v>
      </c>
      <c r="H587">
        <v>2</v>
      </c>
      <c r="I587" t="s">
        <v>1352</v>
      </c>
      <c r="J587" t="s">
        <v>183</v>
      </c>
    </row>
    <row r="588" spans="1:10" x14ac:dyDescent="0.35">
      <c r="A588">
        <v>57503</v>
      </c>
      <c r="B588" t="s">
        <v>149</v>
      </c>
      <c r="C588" t="s">
        <v>1353</v>
      </c>
      <c r="D588" t="s">
        <v>945</v>
      </c>
      <c r="E588" t="s">
        <v>152</v>
      </c>
      <c r="G588">
        <v>0</v>
      </c>
      <c r="H588">
        <v>3</v>
      </c>
      <c r="I588" t="s">
        <v>1354</v>
      </c>
      <c r="J588" t="s">
        <v>998</v>
      </c>
    </row>
    <row r="589" spans="1:10" x14ac:dyDescent="0.35">
      <c r="A589">
        <v>57505</v>
      </c>
      <c r="B589" t="s">
        <v>149</v>
      </c>
      <c r="C589" t="s">
        <v>1355</v>
      </c>
      <c r="D589" t="s">
        <v>945</v>
      </c>
      <c r="E589" t="s">
        <v>152</v>
      </c>
      <c r="G589">
        <v>0</v>
      </c>
      <c r="H589">
        <v>3</v>
      </c>
      <c r="I589" t="s">
        <v>1356</v>
      </c>
      <c r="J589" t="s">
        <v>998</v>
      </c>
    </row>
    <row r="590" spans="1:10" x14ac:dyDescent="0.35">
      <c r="A590">
        <v>57567</v>
      </c>
      <c r="B590" t="s">
        <v>149</v>
      </c>
      <c r="C590" t="s">
        <v>1357</v>
      </c>
      <c r="D590" t="s">
        <v>945</v>
      </c>
      <c r="E590" t="s">
        <v>152</v>
      </c>
      <c r="G590">
        <v>0</v>
      </c>
      <c r="H590">
        <v>3</v>
      </c>
      <c r="I590" t="s">
        <v>1358</v>
      </c>
      <c r="J590" t="s">
        <v>995</v>
      </c>
    </row>
    <row r="591" spans="1:10" x14ac:dyDescent="0.35">
      <c r="A591">
        <v>57569</v>
      </c>
      <c r="B591" t="s">
        <v>149</v>
      </c>
      <c r="C591" t="s">
        <v>1359</v>
      </c>
      <c r="D591" t="s">
        <v>151</v>
      </c>
      <c r="E591" t="s">
        <v>152</v>
      </c>
      <c r="G591">
        <v>0</v>
      </c>
      <c r="H591">
        <v>2</v>
      </c>
      <c r="I591" t="s">
        <v>1360</v>
      </c>
      <c r="J591" t="s">
        <v>1302</v>
      </c>
    </row>
    <row r="592" spans="1:10" x14ac:dyDescent="0.35">
      <c r="A592">
        <v>57571</v>
      </c>
      <c r="B592" t="s">
        <v>149</v>
      </c>
      <c r="C592" t="s">
        <v>1361</v>
      </c>
      <c r="D592" t="s">
        <v>176</v>
      </c>
      <c r="E592" t="s">
        <v>152</v>
      </c>
      <c r="G592">
        <v>0</v>
      </c>
      <c r="H592">
        <v>3</v>
      </c>
      <c r="I592" t="s">
        <v>1362</v>
      </c>
      <c r="J592" t="s">
        <v>899</v>
      </c>
    </row>
    <row r="593" spans="1:10" x14ac:dyDescent="0.35">
      <c r="A593">
        <v>57575</v>
      </c>
      <c r="B593" t="s">
        <v>149</v>
      </c>
      <c r="C593" t="s">
        <v>1363</v>
      </c>
      <c r="D593" t="s">
        <v>176</v>
      </c>
      <c r="E593" t="s">
        <v>152</v>
      </c>
      <c r="G593">
        <v>0</v>
      </c>
      <c r="H593">
        <v>2</v>
      </c>
      <c r="I593" t="s">
        <v>1364</v>
      </c>
      <c r="J593" t="s">
        <v>525</v>
      </c>
    </row>
    <row r="594" spans="1:10" x14ac:dyDescent="0.35">
      <c r="A594">
        <v>57576</v>
      </c>
      <c r="B594" t="s">
        <v>149</v>
      </c>
      <c r="C594" t="s">
        <v>1365</v>
      </c>
      <c r="D594" t="s">
        <v>555</v>
      </c>
      <c r="E594" t="s">
        <v>152</v>
      </c>
      <c r="G594">
        <v>0</v>
      </c>
      <c r="H594">
        <v>2</v>
      </c>
      <c r="I594" t="s">
        <v>1366</v>
      </c>
      <c r="J594" t="s">
        <v>899</v>
      </c>
    </row>
    <row r="595" spans="1:10" x14ac:dyDescent="0.35">
      <c r="A595">
        <v>57577</v>
      </c>
      <c r="B595" t="s">
        <v>149</v>
      </c>
      <c r="C595" t="s">
        <v>1367</v>
      </c>
      <c r="D595" t="s">
        <v>176</v>
      </c>
      <c r="E595" t="s">
        <v>152</v>
      </c>
      <c r="G595">
        <v>1</v>
      </c>
      <c r="H595">
        <v>1</v>
      </c>
      <c r="I595" t="s">
        <v>1368</v>
      </c>
      <c r="J595" t="s">
        <v>899</v>
      </c>
    </row>
    <row r="596" spans="1:10" x14ac:dyDescent="0.35">
      <c r="A596">
        <v>57580</v>
      </c>
      <c r="B596" t="s">
        <v>149</v>
      </c>
      <c r="C596" t="s">
        <v>1369</v>
      </c>
      <c r="D596" t="s">
        <v>564</v>
      </c>
      <c r="E596" t="s">
        <v>152</v>
      </c>
      <c r="G596">
        <v>0</v>
      </c>
      <c r="H596">
        <v>8</v>
      </c>
      <c r="I596" t="s">
        <v>1370</v>
      </c>
      <c r="J596" t="s">
        <v>525</v>
      </c>
    </row>
    <row r="597" spans="1:10" x14ac:dyDescent="0.35">
      <c r="A597">
        <v>57583</v>
      </c>
      <c r="B597" t="s">
        <v>149</v>
      </c>
      <c r="C597" t="s">
        <v>1371</v>
      </c>
      <c r="D597" t="s">
        <v>176</v>
      </c>
      <c r="E597" t="s">
        <v>152</v>
      </c>
      <c r="G597">
        <v>0</v>
      </c>
      <c r="H597">
        <v>1</v>
      </c>
      <c r="I597" t="s">
        <v>1372</v>
      </c>
      <c r="J597" t="s">
        <v>736</v>
      </c>
    </row>
    <row r="598" spans="1:10" x14ac:dyDescent="0.35">
      <c r="A598">
        <v>57584</v>
      </c>
      <c r="B598" t="s">
        <v>149</v>
      </c>
      <c r="C598" t="s">
        <v>1373</v>
      </c>
      <c r="D598" t="s">
        <v>564</v>
      </c>
      <c r="E598" t="s">
        <v>152</v>
      </c>
      <c r="G598">
        <v>0</v>
      </c>
      <c r="H598">
        <v>8</v>
      </c>
      <c r="I598" t="s">
        <v>1374</v>
      </c>
      <c r="J598" t="s">
        <v>736</v>
      </c>
    </row>
    <row r="599" spans="1:10" x14ac:dyDescent="0.35">
      <c r="A599">
        <v>57585</v>
      </c>
      <c r="B599" t="s">
        <v>149</v>
      </c>
      <c r="C599" t="s">
        <v>1375</v>
      </c>
      <c r="D599" t="s">
        <v>564</v>
      </c>
      <c r="E599" t="s">
        <v>152</v>
      </c>
      <c r="G599">
        <v>0</v>
      </c>
      <c r="H599">
        <v>2</v>
      </c>
      <c r="I599" t="s">
        <v>1376</v>
      </c>
      <c r="J599" t="s">
        <v>899</v>
      </c>
    </row>
    <row r="600" spans="1:10" x14ac:dyDescent="0.35">
      <c r="A600">
        <v>57586</v>
      </c>
      <c r="B600" t="s">
        <v>149</v>
      </c>
      <c r="C600" t="s">
        <v>1377</v>
      </c>
      <c r="D600" t="s">
        <v>564</v>
      </c>
      <c r="E600" t="s">
        <v>152</v>
      </c>
      <c r="G600">
        <v>0</v>
      </c>
      <c r="H600">
        <v>2</v>
      </c>
      <c r="I600" t="s">
        <v>1378</v>
      </c>
      <c r="J600" t="s">
        <v>899</v>
      </c>
    </row>
    <row r="601" spans="1:10" x14ac:dyDescent="0.35">
      <c r="A601">
        <v>57587</v>
      </c>
      <c r="B601" t="s">
        <v>149</v>
      </c>
      <c r="C601" t="s">
        <v>1379</v>
      </c>
      <c r="D601" t="s">
        <v>564</v>
      </c>
      <c r="E601" t="s">
        <v>152</v>
      </c>
      <c r="G601">
        <v>1</v>
      </c>
      <c r="H601">
        <v>8</v>
      </c>
      <c r="I601" t="s">
        <v>1380</v>
      </c>
      <c r="J601" t="s">
        <v>899</v>
      </c>
    </row>
    <row r="602" spans="1:10" x14ac:dyDescent="0.35">
      <c r="A602">
        <v>57588</v>
      </c>
      <c r="B602" t="s">
        <v>149</v>
      </c>
      <c r="C602" t="s">
        <v>1381</v>
      </c>
      <c r="D602" t="s">
        <v>564</v>
      </c>
      <c r="E602" t="s">
        <v>152</v>
      </c>
      <c r="G602">
        <v>0</v>
      </c>
      <c r="H602">
        <v>4</v>
      </c>
      <c r="I602" t="s">
        <v>1382</v>
      </c>
      <c r="J602" t="s">
        <v>899</v>
      </c>
    </row>
    <row r="603" spans="1:10" x14ac:dyDescent="0.35">
      <c r="A603">
        <v>57590</v>
      </c>
      <c r="B603" t="s">
        <v>149</v>
      </c>
      <c r="C603" t="s">
        <v>1383</v>
      </c>
      <c r="D603" t="s">
        <v>564</v>
      </c>
      <c r="E603" t="s">
        <v>152</v>
      </c>
      <c r="G603">
        <v>0</v>
      </c>
      <c r="H603">
        <v>4</v>
      </c>
      <c r="I603" t="s">
        <v>1384</v>
      </c>
      <c r="J603" t="s">
        <v>894</v>
      </c>
    </row>
    <row r="604" spans="1:10" x14ac:dyDescent="0.35">
      <c r="A604">
        <v>57591</v>
      </c>
      <c r="B604" t="s">
        <v>149</v>
      </c>
      <c r="C604" t="s">
        <v>1385</v>
      </c>
      <c r="D604" t="s">
        <v>293</v>
      </c>
      <c r="E604" t="s">
        <v>152</v>
      </c>
      <c r="G604">
        <v>0</v>
      </c>
      <c r="H604">
        <v>4</v>
      </c>
      <c r="I604" t="s">
        <v>1386</v>
      </c>
      <c r="J604" t="s">
        <v>899</v>
      </c>
    </row>
    <row r="605" spans="1:10" x14ac:dyDescent="0.35">
      <c r="A605">
        <v>57592</v>
      </c>
      <c r="B605" t="s">
        <v>149</v>
      </c>
      <c r="C605" t="s">
        <v>1387</v>
      </c>
      <c r="D605" t="s">
        <v>293</v>
      </c>
      <c r="E605" t="s">
        <v>152</v>
      </c>
      <c r="G605">
        <v>0</v>
      </c>
      <c r="H605">
        <v>4</v>
      </c>
      <c r="I605" t="s">
        <v>1388</v>
      </c>
      <c r="J605" t="s">
        <v>899</v>
      </c>
    </row>
    <row r="606" spans="1:10" x14ac:dyDescent="0.35">
      <c r="A606">
        <v>57593</v>
      </c>
      <c r="B606" t="s">
        <v>149</v>
      </c>
      <c r="C606" t="s">
        <v>1389</v>
      </c>
      <c r="D606" t="s">
        <v>564</v>
      </c>
      <c r="E606" t="s">
        <v>152</v>
      </c>
      <c r="G606">
        <v>0</v>
      </c>
      <c r="H606">
        <v>16</v>
      </c>
      <c r="I606" t="s">
        <v>1390</v>
      </c>
      <c r="J606" t="s">
        <v>736</v>
      </c>
    </row>
    <row r="607" spans="1:10" x14ac:dyDescent="0.35">
      <c r="A607">
        <v>57594</v>
      </c>
      <c r="B607" t="s">
        <v>149</v>
      </c>
      <c r="C607" t="s">
        <v>1391</v>
      </c>
      <c r="D607" t="s">
        <v>293</v>
      </c>
      <c r="E607" t="s">
        <v>152</v>
      </c>
      <c r="G607">
        <v>0</v>
      </c>
      <c r="H607">
        <v>4</v>
      </c>
      <c r="I607" t="s">
        <v>1392</v>
      </c>
      <c r="J607" t="s">
        <v>899</v>
      </c>
    </row>
    <row r="608" spans="1:10" x14ac:dyDescent="0.35">
      <c r="A608">
        <v>57595</v>
      </c>
      <c r="B608" t="s">
        <v>149</v>
      </c>
      <c r="C608" t="s">
        <v>1393</v>
      </c>
      <c r="D608" t="s">
        <v>293</v>
      </c>
      <c r="E608" t="s">
        <v>152</v>
      </c>
      <c r="G608">
        <v>0</v>
      </c>
      <c r="H608">
        <v>4</v>
      </c>
      <c r="I608" t="s">
        <v>1394</v>
      </c>
      <c r="J608" t="s">
        <v>899</v>
      </c>
    </row>
    <row r="609" spans="1:10" x14ac:dyDescent="0.35">
      <c r="A609">
        <v>57596</v>
      </c>
      <c r="B609" t="s">
        <v>149</v>
      </c>
      <c r="C609" t="s">
        <v>1395</v>
      </c>
      <c r="D609" t="s">
        <v>564</v>
      </c>
      <c r="E609" t="s">
        <v>152</v>
      </c>
      <c r="G609">
        <v>0</v>
      </c>
      <c r="H609">
        <v>2</v>
      </c>
      <c r="I609" t="s">
        <v>1396</v>
      </c>
      <c r="J609" t="s">
        <v>1286</v>
      </c>
    </row>
    <row r="610" spans="1:10" x14ac:dyDescent="0.35">
      <c r="A610">
        <v>57598</v>
      </c>
      <c r="B610" t="s">
        <v>149</v>
      </c>
      <c r="C610" t="s">
        <v>1397</v>
      </c>
      <c r="D610" t="s">
        <v>945</v>
      </c>
      <c r="E610" t="s">
        <v>152</v>
      </c>
      <c r="G610">
        <v>0</v>
      </c>
      <c r="H610">
        <v>4</v>
      </c>
      <c r="I610" t="s">
        <v>1398</v>
      </c>
      <c r="J610" t="s">
        <v>998</v>
      </c>
    </row>
    <row r="611" spans="1:10" x14ac:dyDescent="0.35">
      <c r="A611">
        <v>57600</v>
      </c>
      <c r="B611" t="s">
        <v>149</v>
      </c>
      <c r="C611" t="s">
        <v>1399</v>
      </c>
      <c r="D611" t="s">
        <v>945</v>
      </c>
      <c r="E611" t="s">
        <v>152</v>
      </c>
      <c r="G611">
        <v>0</v>
      </c>
      <c r="H611">
        <v>7</v>
      </c>
      <c r="I611" t="s">
        <v>1400</v>
      </c>
      <c r="J611" t="s">
        <v>995</v>
      </c>
    </row>
    <row r="612" spans="1:10" x14ac:dyDescent="0.35">
      <c r="A612">
        <v>57601</v>
      </c>
      <c r="B612" t="s">
        <v>149</v>
      </c>
      <c r="C612" t="s">
        <v>1401</v>
      </c>
      <c r="D612" t="s">
        <v>203</v>
      </c>
      <c r="E612" t="s">
        <v>152</v>
      </c>
      <c r="G612">
        <v>0</v>
      </c>
      <c r="H612">
        <v>1</v>
      </c>
      <c r="I612" t="s">
        <v>1402</v>
      </c>
      <c r="J612" t="s">
        <v>201</v>
      </c>
    </row>
    <row r="613" spans="1:10" x14ac:dyDescent="0.35">
      <c r="A613">
        <v>57602</v>
      </c>
      <c r="B613" t="s">
        <v>149</v>
      </c>
      <c r="C613" t="s">
        <v>1403</v>
      </c>
      <c r="D613" t="s">
        <v>203</v>
      </c>
      <c r="E613" t="s">
        <v>152</v>
      </c>
      <c r="G613">
        <v>0</v>
      </c>
      <c r="H613">
        <v>2</v>
      </c>
      <c r="I613" t="s">
        <v>1404</v>
      </c>
      <c r="J613" t="s">
        <v>201</v>
      </c>
    </row>
    <row r="614" spans="1:10" x14ac:dyDescent="0.35">
      <c r="A614">
        <v>57603</v>
      </c>
      <c r="B614" t="s">
        <v>149</v>
      </c>
      <c r="C614" t="s">
        <v>1405</v>
      </c>
      <c r="D614" t="s">
        <v>203</v>
      </c>
      <c r="E614" t="s">
        <v>152</v>
      </c>
      <c r="G614">
        <v>0</v>
      </c>
      <c r="H614">
        <v>12</v>
      </c>
      <c r="I614" t="s">
        <v>1406</v>
      </c>
      <c r="J614" t="s">
        <v>431</v>
      </c>
    </row>
    <row r="615" spans="1:10" x14ac:dyDescent="0.35">
      <c r="A615">
        <v>57604</v>
      </c>
      <c r="B615" t="s">
        <v>149</v>
      </c>
      <c r="C615" t="s">
        <v>1407</v>
      </c>
      <c r="D615" t="s">
        <v>185</v>
      </c>
      <c r="E615" t="s">
        <v>152</v>
      </c>
      <c r="G615">
        <v>0</v>
      </c>
      <c r="H615">
        <v>2</v>
      </c>
      <c r="I615" t="s">
        <v>1408</v>
      </c>
      <c r="J615" t="s">
        <v>183</v>
      </c>
    </row>
    <row r="616" spans="1:10" x14ac:dyDescent="0.35">
      <c r="A616">
        <v>57606</v>
      </c>
      <c r="B616" t="s">
        <v>149</v>
      </c>
      <c r="C616" t="s">
        <v>1409</v>
      </c>
      <c r="D616" t="s">
        <v>185</v>
      </c>
      <c r="E616" t="s">
        <v>152</v>
      </c>
      <c r="G616">
        <v>0</v>
      </c>
      <c r="H616">
        <v>2</v>
      </c>
      <c r="I616" t="s">
        <v>1410</v>
      </c>
      <c r="J616" t="s">
        <v>183</v>
      </c>
    </row>
    <row r="617" spans="1:10" x14ac:dyDescent="0.35">
      <c r="A617">
        <v>57607</v>
      </c>
      <c r="B617" t="s">
        <v>149</v>
      </c>
      <c r="C617" t="s">
        <v>1411</v>
      </c>
      <c r="D617" t="s">
        <v>185</v>
      </c>
      <c r="E617" t="s">
        <v>152</v>
      </c>
      <c r="G617">
        <v>0</v>
      </c>
      <c r="H617">
        <v>1</v>
      </c>
      <c r="I617" t="s">
        <v>1412</v>
      </c>
      <c r="J617" t="s">
        <v>183</v>
      </c>
    </row>
    <row r="618" spans="1:10" x14ac:dyDescent="0.35">
      <c r="A618">
        <v>57615</v>
      </c>
      <c r="B618" t="s">
        <v>149</v>
      </c>
      <c r="C618" t="s">
        <v>1296</v>
      </c>
      <c r="D618" t="s">
        <v>429</v>
      </c>
      <c r="E618" t="s">
        <v>152</v>
      </c>
      <c r="G618">
        <v>0</v>
      </c>
      <c r="H618">
        <v>4</v>
      </c>
      <c r="I618" t="s">
        <v>1413</v>
      </c>
      <c r="J618" t="s">
        <v>1217</v>
      </c>
    </row>
    <row r="619" spans="1:10" x14ac:dyDescent="0.35">
      <c r="A619">
        <v>57625</v>
      </c>
      <c r="B619" t="s">
        <v>149</v>
      </c>
      <c r="C619" t="s">
        <v>1414</v>
      </c>
      <c r="D619" t="s">
        <v>338</v>
      </c>
      <c r="E619" t="s">
        <v>152</v>
      </c>
      <c r="G619">
        <v>0</v>
      </c>
      <c r="H619">
        <v>20</v>
      </c>
      <c r="I619" t="s">
        <v>1415</v>
      </c>
      <c r="J619" t="s">
        <v>1206</v>
      </c>
    </row>
    <row r="620" spans="1:10" x14ac:dyDescent="0.35">
      <c r="A620">
        <v>57634</v>
      </c>
      <c r="B620" t="s">
        <v>149</v>
      </c>
      <c r="C620" t="s">
        <v>1416</v>
      </c>
      <c r="D620" t="s">
        <v>280</v>
      </c>
      <c r="E620" t="s">
        <v>152</v>
      </c>
      <c r="G620">
        <v>0</v>
      </c>
      <c r="H620">
        <v>1</v>
      </c>
      <c r="I620" t="s">
        <v>1417</v>
      </c>
      <c r="J620" t="s">
        <v>201</v>
      </c>
    </row>
    <row r="621" spans="1:10" x14ac:dyDescent="0.35">
      <c r="A621">
        <v>57637</v>
      </c>
      <c r="B621" t="s">
        <v>149</v>
      </c>
      <c r="C621" t="s">
        <v>1418</v>
      </c>
      <c r="D621" t="s">
        <v>280</v>
      </c>
      <c r="E621" t="s">
        <v>152</v>
      </c>
      <c r="G621">
        <v>0</v>
      </c>
      <c r="H621">
        <v>1</v>
      </c>
      <c r="I621" t="s">
        <v>1419</v>
      </c>
      <c r="J621" t="s">
        <v>201</v>
      </c>
    </row>
    <row r="622" spans="1:10" x14ac:dyDescent="0.35">
      <c r="A622">
        <v>57638</v>
      </c>
      <c r="B622" t="s">
        <v>149</v>
      </c>
      <c r="C622" t="s">
        <v>1420</v>
      </c>
      <c r="D622" t="s">
        <v>280</v>
      </c>
      <c r="E622" t="s">
        <v>152</v>
      </c>
      <c r="G622">
        <v>0</v>
      </c>
      <c r="H622">
        <v>2</v>
      </c>
      <c r="I622" t="s">
        <v>1421</v>
      </c>
      <c r="J622" t="s">
        <v>201</v>
      </c>
    </row>
    <row r="623" spans="1:10" x14ac:dyDescent="0.35">
      <c r="A623">
        <v>57639</v>
      </c>
      <c r="B623" t="s">
        <v>149</v>
      </c>
      <c r="C623" t="s">
        <v>1422</v>
      </c>
      <c r="D623" t="s">
        <v>280</v>
      </c>
      <c r="E623" t="s">
        <v>152</v>
      </c>
      <c r="G623">
        <v>0</v>
      </c>
      <c r="H623">
        <v>1</v>
      </c>
      <c r="I623" t="s">
        <v>1423</v>
      </c>
      <c r="J623" t="s">
        <v>201</v>
      </c>
    </row>
    <row r="624" spans="1:10" x14ac:dyDescent="0.35">
      <c r="A624">
        <v>57640</v>
      </c>
      <c r="B624" t="s">
        <v>149</v>
      </c>
      <c r="C624" t="s">
        <v>1424</v>
      </c>
      <c r="D624" t="s">
        <v>280</v>
      </c>
      <c r="E624" t="s">
        <v>152</v>
      </c>
      <c r="G624">
        <v>0</v>
      </c>
      <c r="H624">
        <v>1</v>
      </c>
      <c r="I624" t="s">
        <v>1425</v>
      </c>
      <c r="J624" t="s">
        <v>201</v>
      </c>
    </row>
    <row r="625" spans="1:10" x14ac:dyDescent="0.35">
      <c r="A625">
        <v>57641</v>
      </c>
      <c r="B625" t="s">
        <v>149</v>
      </c>
      <c r="C625" t="s">
        <v>1426</v>
      </c>
      <c r="D625" t="s">
        <v>151</v>
      </c>
      <c r="E625" t="s">
        <v>152</v>
      </c>
      <c r="G625">
        <v>0</v>
      </c>
      <c r="H625">
        <v>1</v>
      </c>
      <c r="I625" t="s">
        <v>1427</v>
      </c>
      <c r="J625" t="s">
        <v>899</v>
      </c>
    </row>
    <row r="626" spans="1:10" x14ac:dyDescent="0.35">
      <c r="A626">
        <v>57642</v>
      </c>
      <c r="B626" t="s">
        <v>149</v>
      </c>
      <c r="C626" t="s">
        <v>1428</v>
      </c>
      <c r="D626" t="s">
        <v>151</v>
      </c>
      <c r="E626" t="s">
        <v>152</v>
      </c>
      <c r="G626">
        <v>0</v>
      </c>
      <c r="H626">
        <v>1</v>
      </c>
      <c r="I626" t="s">
        <v>1429</v>
      </c>
      <c r="J626" t="s">
        <v>899</v>
      </c>
    </row>
    <row r="627" spans="1:10" x14ac:dyDescent="0.35">
      <c r="A627">
        <v>57643</v>
      </c>
      <c r="B627" t="s">
        <v>149</v>
      </c>
      <c r="C627" t="s">
        <v>1430</v>
      </c>
      <c r="D627" t="s">
        <v>151</v>
      </c>
      <c r="E627" t="s">
        <v>152</v>
      </c>
      <c r="G627">
        <v>0</v>
      </c>
      <c r="H627">
        <v>1</v>
      </c>
      <c r="I627" t="s">
        <v>1431</v>
      </c>
      <c r="J627" t="s">
        <v>899</v>
      </c>
    </row>
    <row r="628" spans="1:10" x14ac:dyDescent="0.35">
      <c r="A628">
        <v>57644</v>
      </c>
      <c r="B628" t="s">
        <v>149</v>
      </c>
      <c r="C628" t="s">
        <v>1432</v>
      </c>
      <c r="D628" t="s">
        <v>151</v>
      </c>
      <c r="E628" t="s">
        <v>152</v>
      </c>
      <c r="G628">
        <v>0</v>
      </c>
      <c r="H628">
        <v>1</v>
      </c>
      <c r="I628" t="s">
        <v>1433</v>
      </c>
      <c r="J628" t="s">
        <v>899</v>
      </c>
    </row>
    <row r="629" spans="1:10" x14ac:dyDescent="0.35">
      <c r="A629">
        <v>57645</v>
      </c>
      <c r="B629" t="s">
        <v>149</v>
      </c>
      <c r="C629" t="s">
        <v>1434</v>
      </c>
      <c r="D629" t="s">
        <v>176</v>
      </c>
      <c r="E629" t="s">
        <v>152</v>
      </c>
      <c r="G629">
        <v>1</v>
      </c>
      <c r="H629">
        <v>1</v>
      </c>
      <c r="I629" t="s">
        <v>1435</v>
      </c>
      <c r="J629" t="s">
        <v>736</v>
      </c>
    </row>
    <row r="630" spans="1:10" x14ac:dyDescent="0.35">
      <c r="A630">
        <v>57647</v>
      </c>
      <c r="B630" t="s">
        <v>149</v>
      </c>
      <c r="C630" t="s">
        <v>1436</v>
      </c>
      <c r="D630" t="s">
        <v>185</v>
      </c>
      <c r="E630" t="s">
        <v>152</v>
      </c>
      <c r="G630">
        <v>0</v>
      </c>
      <c r="H630">
        <v>1</v>
      </c>
      <c r="I630" t="s">
        <v>1437</v>
      </c>
      <c r="J630" t="s">
        <v>183</v>
      </c>
    </row>
    <row r="631" spans="1:10" x14ac:dyDescent="0.35">
      <c r="A631">
        <v>57652</v>
      </c>
      <c r="B631" t="s">
        <v>149</v>
      </c>
      <c r="C631" t="s">
        <v>1438</v>
      </c>
      <c r="D631" t="s">
        <v>185</v>
      </c>
      <c r="E631" t="s">
        <v>152</v>
      </c>
      <c r="G631">
        <v>0</v>
      </c>
      <c r="H631">
        <v>2</v>
      </c>
      <c r="I631" t="s">
        <v>1439</v>
      </c>
      <c r="J631" t="s">
        <v>431</v>
      </c>
    </row>
    <row r="632" spans="1:10" x14ac:dyDescent="0.35">
      <c r="A632">
        <v>57657</v>
      </c>
      <c r="B632" t="s">
        <v>149</v>
      </c>
      <c r="C632" t="s">
        <v>1440</v>
      </c>
      <c r="D632" t="s">
        <v>555</v>
      </c>
      <c r="E632" t="s">
        <v>152</v>
      </c>
      <c r="G632">
        <v>0</v>
      </c>
      <c r="H632">
        <v>2</v>
      </c>
      <c r="I632" t="s">
        <v>1441</v>
      </c>
      <c r="J632" t="s">
        <v>736</v>
      </c>
    </row>
    <row r="633" spans="1:10" x14ac:dyDescent="0.35">
      <c r="A633">
        <v>57658</v>
      </c>
      <c r="B633" t="s">
        <v>149</v>
      </c>
      <c r="C633" t="s">
        <v>1442</v>
      </c>
      <c r="D633" t="s">
        <v>555</v>
      </c>
      <c r="E633" t="s">
        <v>152</v>
      </c>
      <c r="G633">
        <v>0</v>
      </c>
      <c r="H633">
        <v>2</v>
      </c>
      <c r="I633" t="s">
        <v>1443</v>
      </c>
      <c r="J633" t="s">
        <v>525</v>
      </c>
    </row>
    <row r="634" spans="1:10" x14ac:dyDescent="0.35">
      <c r="A634">
        <v>57659</v>
      </c>
      <c r="B634" t="s">
        <v>149</v>
      </c>
      <c r="C634" t="s">
        <v>1444</v>
      </c>
      <c r="D634" t="s">
        <v>555</v>
      </c>
      <c r="E634" t="s">
        <v>152</v>
      </c>
      <c r="G634">
        <v>0</v>
      </c>
      <c r="H634">
        <v>4</v>
      </c>
      <c r="I634" t="s">
        <v>1445</v>
      </c>
      <c r="J634" t="s">
        <v>525</v>
      </c>
    </row>
    <row r="635" spans="1:10" x14ac:dyDescent="0.35">
      <c r="A635">
        <v>57661</v>
      </c>
      <c r="B635" t="s">
        <v>149</v>
      </c>
      <c r="C635" t="s">
        <v>1446</v>
      </c>
      <c r="D635" t="s">
        <v>429</v>
      </c>
      <c r="E635" t="s">
        <v>152</v>
      </c>
      <c r="G635">
        <v>0</v>
      </c>
      <c r="H635">
        <v>2</v>
      </c>
      <c r="I635" t="s">
        <v>1447</v>
      </c>
      <c r="J635" t="s">
        <v>899</v>
      </c>
    </row>
    <row r="636" spans="1:10" x14ac:dyDescent="0.35">
      <c r="A636">
        <v>57664</v>
      </c>
      <c r="B636" t="s">
        <v>149</v>
      </c>
      <c r="C636" t="s">
        <v>1448</v>
      </c>
      <c r="D636" t="s">
        <v>176</v>
      </c>
      <c r="E636" t="s">
        <v>152</v>
      </c>
      <c r="G636">
        <v>0</v>
      </c>
      <c r="H636">
        <v>1</v>
      </c>
      <c r="I636" t="s">
        <v>1449</v>
      </c>
      <c r="J636" t="s">
        <v>1286</v>
      </c>
    </row>
    <row r="637" spans="1:10" x14ac:dyDescent="0.35">
      <c r="A637">
        <v>57665</v>
      </c>
      <c r="B637" t="s">
        <v>149</v>
      </c>
      <c r="C637" t="s">
        <v>1450</v>
      </c>
      <c r="D637" t="s">
        <v>176</v>
      </c>
      <c r="E637" t="s">
        <v>152</v>
      </c>
      <c r="G637">
        <v>0</v>
      </c>
      <c r="H637">
        <v>3</v>
      </c>
      <c r="I637" t="s">
        <v>1451</v>
      </c>
      <c r="J637" t="s">
        <v>899</v>
      </c>
    </row>
    <row r="638" spans="1:10" x14ac:dyDescent="0.35">
      <c r="A638">
        <v>57666</v>
      </c>
      <c r="B638" t="s">
        <v>149</v>
      </c>
      <c r="C638" t="s">
        <v>1452</v>
      </c>
      <c r="D638" t="s">
        <v>176</v>
      </c>
      <c r="E638" t="s">
        <v>152</v>
      </c>
      <c r="G638">
        <v>1</v>
      </c>
      <c r="H638">
        <v>1</v>
      </c>
      <c r="I638" t="s">
        <v>1453</v>
      </c>
      <c r="J638" t="s">
        <v>899</v>
      </c>
    </row>
    <row r="639" spans="1:10" x14ac:dyDescent="0.35">
      <c r="A639">
        <v>57667</v>
      </c>
      <c r="B639" t="s">
        <v>149</v>
      </c>
      <c r="C639" t="s">
        <v>1454</v>
      </c>
      <c r="D639" t="s">
        <v>176</v>
      </c>
      <c r="E639" t="s">
        <v>152</v>
      </c>
      <c r="G639">
        <v>0</v>
      </c>
      <c r="H639">
        <v>1</v>
      </c>
      <c r="I639" t="s">
        <v>1455</v>
      </c>
      <c r="J639" t="s">
        <v>1286</v>
      </c>
    </row>
    <row r="640" spans="1:10" x14ac:dyDescent="0.35">
      <c r="A640">
        <v>57668</v>
      </c>
      <c r="B640" t="s">
        <v>149</v>
      </c>
      <c r="C640" t="s">
        <v>1456</v>
      </c>
      <c r="D640" t="s">
        <v>293</v>
      </c>
      <c r="E640" t="s">
        <v>152</v>
      </c>
      <c r="G640">
        <v>0</v>
      </c>
      <c r="H640">
        <v>4</v>
      </c>
      <c r="I640" t="s">
        <v>1457</v>
      </c>
      <c r="J640" t="s">
        <v>899</v>
      </c>
    </row>
    <row r="641" spans="1:10" x14ac:dyDescent="0.35">
      <c r="A641">
        <v>57669</v>
      </c>
      <c r="B641" t="s">
        <v>149</v>
      </c>
      <c r="C641" t="s">
        <v>1458</v>
      </c>
      <c r="D641" t="s">
        <v>293</v>
      </c>
      <c r="E641" t="s">
        <v>152</v>
      </c>
      <c r="G641">
        <v>0</v>
      </c>
      <c r="H641">
        <v>4</v>
      </c>
      <c r="I641" t="s">
        <v>1459</v>
      </c>
      <c r="J641" t="s">
        <v>899</v>
      </c>
    </row>
    <row r="642" spans="1:10" x14ac:dyDescent="0.35">
      <c r="A642">
        <v>57670</v>
      </c>
      <c r="B642" t="s">
        <v>149</v>
      </c>
      <c r="C642" t="s">
        <v>1460</v>
      </c>
      <c r="D642" t="s">
        <v>176</v>
      </c>
      <c r="E642" t="s">
        <v>152</v>
      </c>
      <c r="G642">
        <v>0</v>
      </c>
      <c r="H642">
        <v>1</v>
      </c>
      <c r="I642" t="s">
        <v>1461</v>
      </c>
      <c r="J642" t="s">
        <v>1286</v>
      </c>
    </row>
    <row r="643" spans="1:10" x14ac:dyDescent="0.35">
      <c r="A643">
        <v>57671</v>
      </c>
      <c r="B643" t="s">
        <v>149</v>
      </c>
      <c r="C643" t="s">
        <v>1462</v>
      </c>
      <c r="D643" t="s">
        <v>176</v>
      </c>
      <c r="E643" t="s">
        <v>152</v>
      </c>
      <c r="G643">
        <v>0</v>
      </c>
      <c r="H643">
        <v>1</v>
      </c>
      <c r="I643" t="s">
        <v>1463</v>
      </c>
      <c r="J643" t="s">
        <v>1286</v>
      </c>
    </row>
    <row r="644" spans="1:10" x14ac:dyDescent="0.35">
      <c r="A644">
        <v>57672</v>
      </c>
      <c r="B644" t="s">
        <v>149</v>
      </c>
      <c r="C644" t="s">
        <v>1464</v>
      </c>
      <c r="D644" t="s">
        <v>945</v>
      </c>
      <c r="E644" t="s">
        <v>152</v>
      </c>
      <c r="G644">
        <v>0</v>
      </c>
      <c r="H644">
        <v>3</v>
      </c>
      <c r="I644" t="s">
        <v>1465</v>
      </c>
      <c r="J644" t="s">
        <v>995</v>
      </c>
    </row>
    <row r="645" spans="1:10" x14ac:dyDescent="0.35">
      <c r="A645">
        <v>57673</v>
      </c>
      <c r="B645" t="s">
        <v>149</v>
      </c>
      <c r="C645" t="s">
        <v>1466</v>
      </c>
      <c r="D645" t="s">
        <v>176</v>
      </c>
      <c r="E645" t="s">
        <v>152</v>
      </c>
      <c r="G645">
        <v>0</v>
      </c>
      <c r="H645">
        <v>1</v>
      </c>
      <c r="I645" t="s">
        <v>1467</v>
      </c>
      <c r="J645" t="s">
        <v>894</v>
      </c>
    </row>
    <row r="646" spans="1:10" x14ac:dyDescent="0.35">
      <c r="A646">
        <v>57695</v>
      </c>
      <c r="B646" t="s">
        <v>149</v>
      </c>
      <c r="C646" t="s">
        <v>1468</v>
      </c>
      <c r="D646" t="s">
        <v>293</v>
      </c>
      <c r="E646" t="s">
        <v>152</v>
      </c>
      <c r="G646">
        <v>0</v>
      </c>
      <c r="H646">
        <v>8</v>
      </c>
      <c r="I646" t="s">
        <v>1469</v>
      </c>
      <c r="J646" t="s">
        <v>899</v>
      </c>
    </row>
    <row r="647" spans="1:10" x14ac:dyDescent="0.35">
      <c r="A647">
        <v>57714</v>
      </c>
      <c r="B647" t="s">
        <v>149</v>
      </c>
      <c r="C647" t="s">
        <v>1470</v>
      </c>
      <c r="D647" t="s">
        <v>610</v>
      </c>
      <c r="E647" t="s">
        <v>152</v>
      </c>
      <c r="G647">
        <v>0</v>
      </c>
      <c r="H647">
        <v>5</v>
      </c>
      <c r="I647" t="s">
        <v>1471</v>
      </c>
      <c r="J647" t="s">
        <v>927</v>
      </c>
    </row>
    <row r="648" spans="1:10" x14ac:dyDescent="0.35">
      <c r="A648">
        <v>57716</v>
      </c>
      <c r="B648" t="s">
        <v>149</v>
      </c>
      <c r="C648" t="s">
        <v>1472</v>
      </c>
      <c r="D648" t="s">
        <v>203</v>
      </c>
      <c r="E648" t="s">
        <v>152</v>
      </c>
      <c r="G648">
        <v>0</v>
      </c>
      <c r="H648">
        <v>2</v>
      </c>
      <c r="I648" t="s">
        <v>1473</v>
      </c>
      <c r="J648" t="s">
        <v>431</v>
      </c>
    </row>
    <row r="649" spans="1:10" x14ac:dyDescent="0.35">
      <c r="A649">
        <v>57717</v>
      </c>
      <c r="B649" t="s">
        <v>149</v>
      </c>
      <c r="C649" t="s">
        <v>1474</v>
      </c>
      <c r="D649" t="s">
        <v>203</v>
      </c>
      <c r="E649" t="s">
        <v>152</v>
      </c>
      <c r="G649">
        <v>0</v>
      </c>
      <c r="H649">
        <v>2</v>
      </c>
      <c r="I649" t="s">
        <v>1475</v>
      </c>
      <c r="J649" t="s">
        <v>431</v>
      </c>
    </row>
    <row r="650" spans="1:10" x14ac:dyDescent="0.35">
      <c r="A650">
        <v>57718</v>
      </c>
      <c r="B650" t="s">
        <v>149</v>
      </c>
      <c r="C650" t="s">
        <v>1476</v>
      </c>
      <c r="D650" t="s">
        <v>203</v>
      </c>
      <c r="E650" t="s">
        <v>152</v>
      </c>
      <c r="G650">
        <v>0</v>
      </c>
      <c r="H650">
        <v>2</v>
      </c>
      <c r="I650" t="s">
        <v>1477</v>
      </c>
      <c r="J650" t="s">
        <v>431</v>
      </c>
    </row>
    <row r="651" spans="1:10" x14ac:dyDescent="0.35">
      <c r="A651">
        <v>57719</v>
      </c>
      <c r="B651" t="s">
        <v>149</v>
      </c>
      <c r="C651" t="s">
        <v>1478</v>
      </c>
      <c r="D651" t="s">
        <v>203</v>
      </c>
      <c r="E651" t="s">
        <v>152</v>
      </c>
      <c r="G651">
        <v>0</v>
      </c>
      <c r="H651">
        <v>2</v>
      </c>
      <c r="I651" t="s">
        <v>1479</v>
      </c>
      <c r="J651" t="s">
        <v>201</v>
      </c>
    </row>
    <row r="652" spans="1:10" x14ac:dyDescent="0.35">
      <c r="A652">
        <v>57720</v>
      </c>
      <c r="B652" t="s">
        <v>149</v>
      </c>
      <c r="C652" t="s">
        <v>1480</v>
      </c>
      <c r="D652" t="s">
        <v>203</v>
      </c>
      <c r="E652" t="s">
        <v>152</v>
      </c>
      <c r="G652">
        <v>0</v>
      </c>
      <c r="H652">
        <v>2</v>
      </c>
      <c r="I652" t="s">
        <v>1481</v>
      </c>
      <c r="J652" t="s">
        <v>201</v>
      </c>
    </row>
    <row r="653" spans="1:10" x14ac:dyDescent="0.35">
      <c r="A653">
        <v>57723</v>
      </c>
      <c r="B653" t="s">
        <v>149</v>
      </c>
      <c r="C653" t="s">
        <v>1482</v>
      </c>
      <c r="D653" t="s">
        <v>203</v>
      </c>
      <c r="E653" t="s">
        <v>152</v>
      </c>
      <c r="G653">
        <v>0</v>
      </c>
      <c r="H653">
        <v>1</v>
      </c>
      <c r="I653" t="s">
        <v>1483</v>
      </c>
      <c r="J653" t="s">
        <v>201</v>
      </c>
    </row>
    <row r="654" spans="1:10" x14ac:dyDescent="0.35">
      <c r="A654">
        <v>57724</v>
      </c>
      <c r="B654" t="s">
        <v>149</v>
      </c>
      <c r="C654" t="s">
        <v>1484</v>
      </c>
      <c r="D654" t="s">
        <v>203</v>
      </c>
      <c r="E654" t="s">
        <v>152</v>
      </c>
      <c r="G654">
        <v>0</v>
      </c>
      <c r="H654">
        <v>1</v>
      </c>
      <c r="I654" t="s">
        <v>1485</v>
      </c>
      <c r="J654" t="s">
        <v>201</v>
      </c>
    </row>
    <row r="655" spans="1:10" x14ac:dyDescent="0.35">
      <c r="A655">
        <v>57725</v>
      </c>
      <c r="B655" t="s">
        <v>149</v>
      </c>
      <c r="C655" t="s">
        <v>1486</v>
      </c>
      <c r="D655" t="s">
        <v>203</v>
      </c>
      <c r="E655" t="s">
        <v>152</v>
      </c>
      <c r="G655">
        <v>0</v>
      </c>
      <c r="H655">
        <v>1</v>
      </c>
      <c r="I655" t="s">
        <v>1487</v>
      </c>
      <c r="J655" t="s">
        <v>201</v>
      </c>
    </row>
    <row r="656" spans="1:10" x14ac:dyDescent="0.35">
      <c r="A656">
        <v>57726</v>
      </c>
      <c r="B656" t="s">
        <v>149</v>
      </c>
      <c r="C656" t="s">
        <v>1488</v>
      </c>
      <c r="D656" t="s">
        <v>203</v>
      </c>
      <c r="E656" t="s">
        <v>152</v>
      </c>
      <c r="G656">
        <v>0</v>
      </c>
      <c r="H656">
        <v>3</v>
      </c>
      <c r="I656" t="s">
        <v>1489</v>
      </c>
      <c r="J656" t="s">
        <v>201</v>
      </c>
    </row>
    <row r="657" spans="1:10" x14ac:dyDescent="0.35">
      <c r="A657">
        <v>57728</v>
      </c>
      <c r="B657" t="s">
        <v>149</v>
      </c>
      <c r="C657" t="s">
        <v>1490</v>
      </c>
      <c r="D657" t="s">
        <v>945</v>
      </c>
      <c r="E657" t="s">
        <v>152</v>
      </c>
      <c r="G657">
        <v>1</v>
      </c>
      <c r="H657">
        <v>2</v>
      </c>
      <c r="I657" t="s">
        <v>1491</v>
      </c>
      <c r="J657" t="s">
        <v>172</v>
      </c>
    </row>
    <row r="658" spans="1:10" x14ac:dyDescent="0.35">
      <c r="A658">
        <v>57729</v>
      </c>
      <c r="B658" t="s">
        <v>149</v>
      </c>
      <c r="C658" t="s">
        <v>1492</v>
      </c>
      <c r="D658" t="s">
        <v>945</v>
      </c>
      <c r="E658" t="s">
        <v>152</v>
      </c>
      <c r="G658">
        <v>1</v>
      </c>
      <c r="H658">
        <v>1</v>
      </c>
      <c r="I658" t="s">
        <v>1493</v>
      </c>
      <c r="J658" t="s">
        <v>172</v>
      </c>
    </row>
    <row r="659" spans="1:10" x14ac:dyDescent="0.35">
      <c r="A659">
        <v>57730</v>
      </c>
      <c r="B659" t="s">
        <v>149</v>
      </c>
      <c r="C659" t="s">
        <v>1494</v>
      </c>
      <c r="D659" t="s">
        <v>945</v>
      </c>
      <c r="E659" t="s">
        <v>152</v>
      </c>
      <c r="G659">
        <v>1</v>
      </c>
      <c r="H659">
        <v>2</v>
      </c>
      <c r="I659" t="s">
        <v>1495</v>
      </c>
      <c r="J659" t="s">
        <v>172</v>
      </c>
    </row>
    <row r="660" spans="1:10" x14ac:dyDescent="0.35">
      <c r="A660">
        <v>57732</v>
      </c>
      <c r="B660" t="s">
        <v>149</v>
      </c>
      <c r="C660" t="s">
        <v>1496</v>
      </c>
      <c r="D660" t="s">
        <v>945</v>
      </c>
      <c r="E660" t="s">
        <v>152</v>
      </c>
      <c r="G660">
        <v>1</v>
      </c>
      <c r="H660">
        <v>2</v>
      </c>
      <c r="I660" t="s">
        <v>1497</v>
      </c>
      <c r="J660" t="s">
        <v>172</v>
      </c>
    </row>
    <row r="661" spans="1:10" x14ac:dyDescent="0.35">
      <c r="A661">
        <v>57744</v>
      </c>
      <c r="B661" t="s">
        <v>149</v>
      </c>
      <c r="C661" t="s">
        <v>1498</v>
      </c>
      <c r="D661" t="s">
        <v>176</v>
      </c>
      <c r="E661" t="s">
        <v>152</v>
      </c>
      <c r="G661">
        <v>0</v>
      </c>
      <c r="H661">
        <v>1</v>
      </c>
      <c r="I661" t="s">
        <v>1499</v>
      </c>
      <c r="J661" t="s">
        <v>1286</v>
      </c>
    </row>
    <row r="662" spans="1:10" x14ac:dyDescent="0.35">
      <c r="A662">
        <v>57745</v>
      </c>
      <c r="B662" t="s">
        <v>149</v>
      </c>
      <c r="C662" t="s">
        <v>1500</v>
      </c>
      <c r="D662" t="s">
        <v>555</v>
      </c>
      <c r="E662" t="s">
        <v>152</v>
      </c>
      <c r="G662">
        <v>0</v>
      </c>
      <c r="H662">
        <v>3</v>
      </c>
      <c r="I662" t="s">
        <v>1501</v>
      </c>
      <c r="J662" t="s">
        <v>899</v>
      </c>
    </row>
    <row r="663" spans="1:10" x14ac:dyDescent="0.35">
      <c r="A663">
        <v>57746</v>
      </c>
      <c r="B663" t="s">
        <v>149</v>
      </c>
      <c r="C663" t="s">
        <v>1502</v>
      </c>
      <c r="D663" t="s">
        <v>555</v>
      </c>
      <c r="E663" t="s">
        <v>152</v>
      </c>
      <c r="G663">
        <v>0</v>
      </c>
      <c r="H663">
        <v>5</v>
      </c>
      <c r="I663" t="s">
        <v>1503</v>
      </c>
      <c r="J663" t="s">
        <v>894</v>
      </c>
    </row>
    <row r="664" spans="1:10" x14ac:dyDescent="0.35">
      <c r="A664">
        <v>57747</v>
      </c>
      <c r="B664" t="s">
        <v>149</v>
      </c>
      <c r="C664" t="s">
        <v>1504</v>
      </c>
      <c r="D664" t="s">
        <v>945</v>
      </c>
      <c r="E664" t="s">
        <v>152</v>
      </c>
      <c r="G664">
        <v>1</v>
      </c>
      <c r="H664">
        <v>2</v>
      </c>
      <c r="I664" t="s">
        <v>1505</v>
      </c>
      <c r="J664" t="s">
        <v>995</v>
      </c>
    </row>
    <row r="665" spans="1:10" x14ac:dyDescent="0.35">
      <c r="A665">
        <v>57748</v>
      </c>
      <c r="B665" t="s">
        <v>149</v>
      </c>
      <c r="C665" t="s">
        <v>1506</v>
      </c>
      <c r="D665" t="s">
        <v>945</v>
      </c>
      <c r="E665" t="s">
        <v>152</v>
      </c>
      <c r="G665">
        <v>1</v>
      </c>
      <c r="H665">
        <v>2</v>
      </c>
      <c r="I665" t="s">
        <v>1507</v>
      </c>
      <c r="J665" t="s">
        <v>172</v>
      </c>
    </row>
    <row r="666" spans="1:10" x14ac:dyDescent="0.35">
      <c r="A666">
        <v>57756</v>
      </c>
      <c r="B666" t="s">
        <v>149</v>
      </c>
      <c r="C666" t="s">
        <v>1508</v>
      </c>
      <c r="D666" t="s">
        <v>429</v>
      </c>
      <c r="E666" t="s">
        <v>152</v>
      </c>
      <c r="G666">
        <v>0</v>
      </c>
      <c r="H666">
        <v>5</v>
      </c>
      <c r="I666" t="s">
        <v>1509</v>
      </c>
      <c r="J666" t="s">
        <v>1510</v>
      </c>
    </row>
    <row r="667" spans="1:10" x14ac:dyDescent="0.35">
      <c r="A667">
        <v>57775</v>
      </c>
      <c r="B667" t="s">
        <v>149</v>
      </c>
      <c r="C667" t="s">
        <v>1511</v>
      </c>
      <c r="D667" t="s">
        <v>338</v>
      </c>
      <c r="E667" t="s">
        <v>152</v>
      </c>
      <c r="G667">
        <v>1</v>
      </c>
      <c r="H667">
        <v>4</v>
      </c>
      <c r="I667" t="s">
        <v>1512</v>
      </c>
      <c r="J667" t="s">
        <v>1206</v>
      </c>
    </row>
    <row r="668" spans="1:10" x14ac:dyDescent="0.35">
      <c r="A668">
        <v>57799</v>
      </c>
      <c r="B668" t="s">
        <v>149</v>
      </c>
      <c r="C668" t="s">
        <v>1513</v>
      </c>
      <c r="D668" t="s">
        <v>945</v>
      </c>
      <c r="E668" t="s">
        <v>152</v>
      </c>
      <c r="G668">
        <v>1</v>
      </c>
      <c r="H668">
        <v>1</v>
      </c>
      <c r="I668" t="s">
        <v>1514</v>
      </c>
      <c r="J668" t="s">
        <v>947</v>
      </c>
    </row>
    <row r="669" spans="1:10" x14ac:dyDescent="0.35">
      <c r="A669">
        <v>57800</v>
      </c>
      <c r="B669" t="s">
        <v>149</v>
      </c>
      <c r="C669" t="s">
        <v>1515</v>
      </c>
      <c r="D669" t="s">
        <v>945</v>
      </c>
      <c r="E669" t="s">
        <v>152</v>
      </c>
      <c r="G669">
        <v>1</v>
      </c>
      <c r="H669">
        <v>1</v>
      </c>
      <c r="I669" t="s">
        <v>1516</v>
      </c>
      <c r="J669" t="s">
        <v>998</v>
      </c>
    </row>
    <row r="670" spans="1:10" x14ac:dyDescent="0.35">
      <c r="A670">
        <v>57870</v>
      </c>
      <c r="B670" t="s">
        <v>149</v>
      </c>
      <c r="C670" t="s">
        <v>1517</v>
      </c>
      <c r="D670" t="s">
        <v>280</v>
      </c>
      <c r="E670" t="s">
        <v>152</v>
      </c>
      <c r="G670">
        <v>0</v>
      </c>
      <c r="H670">
        <v>4</v>
      </c>
      <c r="I670" t="s">
        <v>1518</v>
      </c>
      <c r="J670" t="s">
        <v>201</v>
      </c>
    </row>
    <row r="671" spans="1:10" x14ac:dyDescent="0.35">
      <c r="A671">
        <v>57871</v>
      </c>
      <c r="B671" t="s">
        <v>149</v>
      </c>
      <c r="C671" t="s">
        <v>1519</v>
      </c>
      <c r="D671" t="s">
        <v>280</v>
      </c>
      <c r="E671" t="s">
        <v>152</v>
      </c>
      <c r="G671">
        <v>1</v>
      </c>
      <c r="H671">
        <v>0.5</v>
      </c>
      <c r="I671" t="s">
        <v>1520</v>
      </c>
      <c r="J671" t="s">
        <v>201</v>
      </c>
    </row>
    <row r="672" spans="1:10" x14ac:dyDescent="0.35">
      <c r="A672">
        <v>57872</v>
      </c>
      <c r="B672" t="s">
        <v>149</v>
      </c>
      <c r="C672" t="s">
        <v>1521</v>
      </c>
      <c r="D672" t="s">
        <v>280</v>
      </c>
      <c r="E672" t="s">
        <v>152</v>
      </c>
      <c r="G672">
        <v>1</v>
      </c>
      <c r="H672">
        <v>0.5</v>
      </c>
      <c r="I672" t="s">
        <v>1522</v>
      </c>
      <c r="J672" t="s">
        <v>201</v>
      </c>
    </row>
    <row r="673" spans="1:10" x14ac:dyDescent="0.35">
      <c r="A673">
        <v>57879</v>
      </c>
      <c r="B673" t="s">
        <v>149</v>
      </c>
      <c r="C673" t="s">
        <v>1523</v>
      </c>
      <c r="D673" t="s">
        <v>280</v>
      </c>
      <c r="E673" t="s">
        <v>152</v>
      </c>
      <c r="G673">
        <v>0</v>
      </c>
      <c r="H673">
        <v>4</v>
      </c>
      <c r="I673" t="s">
        <v>1524</v>
      </c>
      <c r="J673" t="s">
        <v>201</v>
      </c>
    </row>
    <row r="674" spans="1:10" x14ac:dyDescent="0.35">
      <c r="A674">
        <v>57903</v>
      </c>
      <c r="B674" t="s">
        <v>149</v>
      </c>
      <c r="C674" t="s">
        <v>1525</v>
      </c>
      <c r="D674" t="s">
        <v>185</v>
      </c>
      <c r="E674" t="s">
        <v>152</v>
      </c>
      <c r="G674">
        <v>1</v>
      </c>
      <c r="H674">
        <v>1</v>
      </c>
      <c r="I674" t="s">
        <v>1526</v>
      </c>
      <c r="J674" t="s">
        <v>201</v>
      </c>
    </row>
    <row r="675" spans="1:10" x14ac:dyDescent="0.35">
      <c r="A675">
        <v>57974</v>
      </c>
      <c r="B675" t="s">
        <v>149</v>
      </c>
      <c r="C675" t="s">
        <v>1527</v>
      </c>
      <c r="D675" t="s">
        <v>185</v>
      </c>
      <c r="E675" t="s">
        <v>152</v>
      </c>
      <c r="G675">
        <v>0</v>
      </c>
      <c r="H675">
        <v>2</v>
      </c>
      <c r="I675" t="s">
        <v>1528</v>
      </c>
      <c r="J675" t="s">
        <v>431</v>
      </c>
    </row>
    <row r="676" spans="1:10" x14ac:dyDescent="0.35">
      <c r="A676">
        <v>57976</v>
      </c>
      <c r="B676" t="s">
        <v>149</v>
      </c>
      <c r="C676" t="s">
        <v>1529</v>
      </c>
      <c r="D676" t="s">
        <v>945</v>
      </c>
      <c r="E676" t="s">
        <v>152</v>
      </c>
      <c r="G676">
        <v>0</v>
      </c>
      <c r="H676">
        <v>2</v>
      </c>
      <c r="I676" t="s">
        <v>1530</v>
      </c>
      <c r="J676" t="s">
        <v>998</v>
      </c>
    </row>
    <row r="677" spans="1:10" x14ac:dyDescent="0.35">
      <c r="A677">
        <v>57977</v>
      </c>
      <c r="B677" t="s">
        <v>149</v>
      </c>
      <c r="C677" t="s">
        <v>1531</v>
      </c>
      <c r="D677" t="s">
        <v>185</v>
      </c>
      <c r="E677" t="s">
        <v>152</v>
      </c>
      <c r="G677">
        <v>0</v>
      </c>
      <c r="H677">
        <v>8</v>
      </c>
      <c r="I677" t="s">
        <v>1532</v>
      </c>
      <c r="J677" t="s">
        <v>927</v>
      </c>
    </row>
    <row r="678" spans="1:10" x14ac:dyDescent="0.35">
      <c r="A678">
        <v>57978</v>
      </c>
      <c r="B678" t="s">
        <v>149</v>
      </c>
      <c r="C678" t="s">
        <v>1533</v>
      </c>
      <c r="D678" t="s">
        <v>185</v>
      </c>
      <c r="E678" t="s">
        <v>152</v>
      </c>
      <c r="G678">
        <v>0</v>
      </c>
      <c r="H678">
        <v>8</v>
      </c>
      <c r="I678" t="s">
        <v>1534</v>
      </c>
      <c r="J678" t="s">
        <v>927</v>
      </c>
    </row>
    <row r="679" spans="1:10" x14ac:dyDescent="0.35">
      <c r="A679">
        <v>57981</v>
      </c>
      <c r="B679" t="s">
        <v>149</v>
      </c>
      <c r="C679" t="s">
        <v>1535</v>
      </c>
      <c r="D679" t="s">
        <v>185</v>
      </c>
      <c r="E679" t="s">
        <v>152</v>
      </c>
      <c r="G679">
        <v>1</v>
      </c>
      <c r="H679">
        <v>2</v>
      </c>
      <c r="I679" t="s">
        <v>1536</v>
      </c>
      <c r="J679" t="s">
        <v>183</v>
      </c>
    </row>
    <row r="680" spans="1:10" x14ac:dyDescent="0.35">
      <c r="A680">
        <v>58039</v>
      </c>
      <c r="B680" t="s">
        <v>149</v>
      </c>
      <c r="C680" t="s">
        <v>1537</v>
      </c>
      <c r="D680" t="s">
        <v>945</v>
      </c>
      <c r="E680" t="s">
        <v>152</v>
      </c>
      <c r="G680">
        <v>0</v>
      </c>
      <c r="H680">
        <v>2</v>
      </c>
      <c r="I680" t="s">
        <v>1538</v>
      </c>
      <c r="J680" t="s">
        <v>172</v>
      </c>
    </row>
    <row r="681" spans="1:10" x14ac:dyDescent="0.35">
      <c r="A681">
        <v>58059</v>
      </c>
      <c r="B681" t="s">
        <v>149</v>
      </c>
      <c r="C681" t="s">
        <v>1539</v>
      </c>
      <c r="D681" t="s">
        <v>564</v>
      </c>
      <c r="E681" t="s">
        <v>152</v>
      </c>
      <c r="G681">
        <v>0</v>
      </c>
      <c r="H681">
        <v>12</v>
      </c>
      <c r="I681" t="s">
        <v>1540</v>
      </c>
      <c r="J681" t="s">
        <v>899</v>
      </c>
    </row>
    <row r="682" spans="1:10" x14ac:dyDescent="0.35">
      <c r="A682">
        <v>58145</v>
      </c>
      <c r="B682" t="s">
        <v>149</v>
      </c>
      <c r="C682" t="s">
        <v>1541</v>
      </c>
      <c r="D682" t="s">
        <v>185</v>
      </c>
      <c r="E682" t="s">
        <v>152</v>
      </c>
      <c r="G682">
        <v>0</v>
      </c>
      <c r="H682">
        <v>1</v>
      </c>
      <c r="I682" t="s">
        <v>1542</v>
      </c>
      <c r="J682" t="s">
        <v>431</v>
      </c>
    </row>
    <row r="683" spans="1:10" x14ac:dyDescent="0.35">
      <c r="A683">
        <v>58147</v>
      </c>
      <c r="B683" t="s">
        <v>149</v>
      </c>
      <c r="C683" t="s">
        <v>1543</v>
      </c>
      <c r="D683" t="s">
        <v>293</v>
      </c>
      <c r="E683" t="s">
        <v>152</v>
      </c>
      <c r="G683">
        <v>0</v>
      </c>
      <c r="H683">
        <v>8</v>
      </c>
      <c r="I683" t="s">
        <v>1544</v>
      </c>
      <c r="J683" t="s">
        <v>154</v>
      </c>
    </row>
    <row r="684" spans="1:10" x14ac:dyDescent="0.35">
      <c r="A684">
        <v>58148</v>
      </c>
      <c r="B684" t="s">
        <v>149</v>
      </c>
      <c r="C684" t="s">
        <v>1545</v>
      </c>
      <c r="D684" t="s">
        <v>293</v>
      </c>
      <c r="E684" t="s">
        <v>152</v>
      </c>
      <c r="G684">
        <v>1</v>
      </c>
      <c r="H684">
        <v>4</v>
      </c>
      <c r="I684" t="s">
        <v>1546</v>
      </c>
      <c r="J684" t="s">
        <v>154</v>
      </c>
    </row>
    <row r="685" spans="1:10" x14ac:dyDescent="0.35">
      <c r="A685">
        <v>58230</v>
      </c>
      <c r="B685" t="s">
        <v>149</v>
      </c>
      <c r="C685" t="s">
        <v>1547</v>
      </c>
      <c r="D685" t="s">
        <v>185</v>
      </c>
      <c r="E685" t="s">
        <v>152</v>
      </c>
      <c r="G685">
        <v>0</v>
      </c>
      <c r="H685">
        <v>1</v>
      </c>
      <c r="I685" t="s">
        <v>1548</v>
      </c>
      <c r="J685" t="s">
        <v>201</v>
      </c>
    </row>
    <row r="686" spans="1:10" x14ac:dyDescent="0.35">
      <c r="A686">
        <v>58231</v>
      </c>
      <c r="B686" t="s">
        <v>149</v>
      </c>
      <c r="C686" t="s">
        <v>1549</v>
      </c>
      <c r="D686" t="s">
        <v>429</v>
      </c>
      <c r="E686" t="s">
        <v>152</v>
      </c>
      <c r="G686">
        <v>0</v>
      </c>
      <c r="H686">
        <v>4</v>
      </c>
      <c r="I686" t="s">
        <v>1550</v>
      </c>
      <c r="J686" t="s">
        <v>525</v>
      </c>
    </row>
    <row r="687" spans="1:10" x14ac:dyDescent="0.35">
      <c r="A687">
        <v>58238</v>
      </c>
      <c r="B687" t="s">
        <v>149</v>
      </c>
      <c r="C687" t="s">
        <v>1551</v>
      </c>
      <c r="D687" t="s">
        <v>1552</v>
      </c>
      <c r="E687" t="s">
        <v>152</v>
      </c>
      <c r="G687">
        <v>0</v>
      </c>
      <c r="H687">
        <v>1</v>
      </c>
      <c r="I687" t="s">
        <v>1553</v>
      </c>
      <c r="J687" t="s">
        <v>998</v>
      </c>
    </row>
    <row r="688" spans="1:10" x14ac:dyDescent="0.35">
      <c r="A688">
        <v>58239</v>
      </c>
      <c r="B688" t="s">
        <v>149</v>
      </c>
      <c r="C688" t="s">
        <v>1554</v>
      </c>
      <c r="D688" t="s">
        <v>1552</v>
      </c>
      <c r="E688" t="s">
        <v>152</v>
      </c>
      <c r="G688">
        <v>0</v>
      </c>
      <c r="H688">
        <v>0.5</v>
      </c>
      <c r="I688" t="s">
        <v>1555</v>
      </c>
      <c r="J688" t="s">
        <v>172</v>
      </c>
    </row>
    <row r="689" spans="1:10" x14ac:dyDescent="0.35">
      <c r="A689">
        <v>58240</v>
      </c>
      <c r="B689" t="s">
        <v>149</v>
      </c>
      <c r="C689" t="s">
        <v>1556</v>
      </c>
      <c r="D689" t="s">
        <v>185</v>
      </c>
      <c r="E689" t="s">
        <v>152</v>
      </c>
      <c r="G689">
        <v>1</v>
      </c>
      <c r="H689">
        <v>2</v>
      </c>
      <c r="I689" t="s">
        <v>1557</v>
      </c>
      <c r="J689" t="s">
        <v>201</v>
      </c>
    </row>
    <row r="690" spans="1:10" x14ac:dyDescent="0.35">
      <c r="A690">
        <v>58241</v>
      </c>
      <c r="B690" t="s">
        <v>149</v>
      </c>
      <c r="C690" t="s">
        <v>1558</v>
      </c>
      <c r="D690" t="s">
        <v>1552</v>
      </c>
      <c r="E690" t="s">
        <v>152</v>
      </c>
      <c r="G690">
        <v>0</v>
      </c>
      <c r="H690">
        <v>1</v>
      </c>
      <c r="I690" t="s">
        <v>1559</v>
      </c>
      <c r="J690" t="s">
        <v>995</v>
      </c>
    </row>
    <row r="691" spans="1:10" x14ac:dyDescent="0.35">
      <c r="A691">
        <v>58242</v>
      </c>
      <c r="B691" t="s">
        <v>149</v>
      </c>
      <c r="C691" t="s">
        <v>1560</v>
      </c>
      <c r="D691" t="s">
        <v>1552</v>
      </c>
      <c r="E691" t="s">
        <v>152</v>
      </c>
      <c r="G691">
        <v>0</v>
      </c>
      <c r="H691">
        <v>1</v>
      </c>
      <c r="I691" t="s">
        <v>1561</v>
      </c>
      <c r="J691" t="s">
        <v>947</v>
      </c>
    </row>
    <row r="692" spans="1:10" x14ac:dyDescent="0.35">
      <c r="A692">
        <v>58243</v>
      </c>
      <c r="B692" t="s">
        <v>149</v>
      </c>
      <c r="C692" t="s">
        <v>1560</v>
      </c>
      <c r="D692" t="s">
        <v>1552</v>
      </c>
      <c r="E692" t="s">
        <v>152</v>
      </c>
      <c r="G692">
        <v>0</v>
      </c>
      <c r="H692">
        <v>1</v>
      </c>
      <c r="I692" t="s">
        <v>1562</v>
      </c>
      <c r="J692" t="s">
        <v>947</v>
      </c>
    </row>
    <row r="693" spans="1:10" x14ac:dyDescent="0.35">
      <c r="A693">
        <v>58244</v>
      </c>
      <c r="B693" t="s">
        <v>149</v>
      </c>
      <c r="C693" t="s">
        <v>1563</v>
      </c>
      <c r="D693" t="s">
        <v>1552</v>
      </c>
      <c r="E693" t="s">
        <v>152</v>
      </c>
      <c r="G693">
        <v>0</v>
      </c>
      <c r="H693">
        <v>1</v>
      </c>
      <c r="I693" t="s">
        <v>1564</v>
      </c>
      <c r="J693" t="s">
        <v>998</v>
      </c>
    </row>
    <row r="694" spans="1:10" x14ac:dyDescent="0.35">
      <c r="A694">
        <v>58245</v>
      </c>
      <c r="B694" t="s">
        <v>149</v>
      </c>
      <c r="C694" t="s">
        <v>1565</v>
      </c>
      <c r="D694" t="s">
        <v>1552</v>
      </c>
      <c r="E694" t="s">
        <v>152</v>
      </c>
      <c r="G694">
        <v>0</v>
      </c>
      <c r="H694">
        <v>1</v>
      </c>
      <c r="I694" t="s">
        <v>1566</v>
      </c>
      <c r="J694" t="s">
        <v>998</v>
      </c>
    </row>
    <row r="695" spans="1:10" x14ac:dyDescent="0.35">
      <c r="A695">
        <v>58246</v>
      </c>
      <c r="B695" t="s">
        <v>149</v>
      </c>
      <c r="C695" t="s">
        <v>1567</v>
      </c>
      <c r="D695" t="s">
        <v>1552</v>
      </c>
      <c r="E695" t="s">
        <v>152</v>
      </c>
      <c r="G695">
        <v>0</v>
      </c>
      <c r="H695">
        <v>1</v>
      </c>
      <c r="I695" t="s">
        <v>1568</v>
      </c>
      <c r="J695" t="s">
        <v>998</v>
      </c>
    </row>
    <row r="696" spans="1:10" x14ac:dyDescent="0.35">
      <c r="A696">
        <v>58248</v>
      </c>
      <c r="B696" t="s">
        <v>149</v>
      </c>
      <c r="C696" t="s">
        <v>1569</v>
      </c>
      <c r="D696" t="s">
        <v>1552</v>
      </c>
      <c r="E696" t="s">
        <v>152</v>
      </c>
      <c r="G696">
        <v>0</v>
      </c>
      <c r="H696">
        <v>1</v>
      </c>
      <c r="I696" t="s">
        <v>1570</v>
      </c>
      <c r="J696" t="s">
        <v>998</v>
      </c>
    </row>
    <row r="697" spans="1:10" x14ac:dyDescent="0.35">
      <c r="A697">
        <v>58249</v>
      </c>
      <c r="B697" t="s">
        <v>149</v>
      </c>
      <c r="C697" t="s">
        <v>1571</v>
      </c>
      <c r="D697" t="s">
        <v>1552</v>
      </c>
      <c r="E697" t="s">
        <v>152</v>
      </c>
      <c r="G697">
        <v>0</v>
      </c>
      <c r="H697">
        <v>1</v>
      </c>
      <c r="I697" t="s">
        <v>1572</v>
      </c>
      <c r="J697" t="s">
        <v>947</v>
      </c>
    </row>
    <row r="698" spans="1:10" x14ac:dyDescent="0.35">
      <c r="A698">
        <v>58250</v>
      </c>
      <c r="B698" t="s">
        <v>149</v>
      </c>
      <c r="C698" t="s">
        <v>1573</v>
      </c>
      <c r="D698" t="s">
        <v>1552</v>
      </c>
      <c r="E698" t="s">
        <v>152</v>
      </c>
      <c r="G698">
        <v>0</v>
      </c>
      <c r="H698">
        <v>1</v>
      </c>
      <c r="I698" t="s">
        <v>1574</v>
      </c>
      <c r="J698" t="s">
        <v>998</v>
      </c>
    </row>
    <row r="699" spans="1:10" x14ac:dyDescent="0.35">
      <c r="A699">
        <v>58251</v>
      </c>
      <c r="B699" t="s">
        <v>149</v>
      </c>
      <c r="C699" t="s">
        <v>1575</v>
      </c>
      <c r="D699" t="s">
        <v>1552</v>
      </c>
      <c r="E699" t="s">
        <v>152</v>
      </c>
      <c r="G699">
        <v>0</v>
      </c>
      <c r="H699">
        <v>0.5</v>
      </c>
      <c r="I699" t="s">
        <v>1576</v>
      </c>
      <c r="J699" t="s">
        <v>172</v>
      </c>
    </row>
    <row r="700" spans="1:10" x14ac:dyDescent="0.35">
      <c r="A700">
        <v>58252</v>
      </c>
      <c r="B700" t="s">
        <v>149</v>
      </c>
      <c r="C700" t="s">
        <v>1577</v>
      </c>
      <c r="D700" t="s">
        <v>1552</v>
      </c>
      <c r="E700" t="s">
        <v>152</v>
      </c>
      <c r="G700">
        <v>0</v>
      </c>
      <c r="H700">
        <v>1</v>
      </c>
      <c r="I700" t="s">
        <v>1578</v>
      </c>
      <c r="J700" t="s">
        <v>995</v>
      </c>
    </row>
    <row r="701" spans="1:10" x14ac:dyDescent="0.35">
      <c r="A701">
        <v>58253</v>
      </c>
      <c r="B701" t="s">
        <v>149</v>
      </c>
      <c r="C701" t="s">
        <v>1579</v>
      </c>
      <c r="D701" t="s">
        <v>1552</v>
      </c>
      <c r="E701" t="s">
        <v>152</v>
      </c>
      <c r="G701">
        <v>0</v>
      </c>
      <c r="H701">
        <v>1</v>
      </c>
      <c r="I701" t="s">
        <v>1580</v>
      </c>
      <c r="J701" t="s">
        <v>172</v>
      </c>
    </row>
    <row r="702" spans="1:10" x14ac:dyDescent="0.35">
      <c r="A702">
        <v>58254</v>
      </c>
      <c r="B702" t="s">
        <v>149</v>
      </c>
      <c r="C702" t="s">
        <v>1581</v>
      </c>
      <c r="D702" t="s">
        <v>1552</v>
      </c>
      <c r="E702" t="s">
        <v>152</v>
      </c>
      <c r="G702">
        <v>0</v>
      </c>
      <c r="H702">
        <v>1</v>
      </c>
      <c r="I702" t="s">
        <v>1582</v>
      </c>
      <c r="J702" t="s">
        <v>172</v>
      </c>
    </row>
    <row r="703" spans="1:10" x14ac:dyDescent="0.35">
      <c r="A703">
        <v>58255</v>
      </c>
      <c r="B703" t="s">
        <v>149</v>
      </c>
      <c r="C703" t="s">
        <v>1583</v>
      </c>
      <c r="D703" t="s">
        <v>1552</v>
      </c>
      <c r="E703" t="s">
        <v>152</v>
      </c>
      <c r="G703">
        <v>0</v>
      </c>
      <c r="H703">
        <v>1</v>
      </c>
      <c r="I703" t="s">
        <v>1584</v>
      </c>
      <c r="J703" t="s">
        <v>998</v>
      </c>
    </row>
    <row r="704" spans="1:10" x14ac:dyDescent="0.35">
      <c r="A704">
        <v>58257</v>
      </c>
      <c r="B704" t="s">
        <v>149</v>
      </c>
      <c r="C704" t="s">
        <v>1585</v>
      </c>
      <c r="D704" t="s">
        <v>1552</v>
      </c>
      <c r="E704" t="s">
        <v>152</v>
      </c>
      <c r="G704">
        <v>0</v>
      </c>
      <c r="H704">
        <v>1</v>
      </c>
      <c r="I704" t="s">
        <v>1586</v>
      </c>
      <c r="J704" t="s">
        <v>998</v>
      </c>
    </row>
    <row r="705" spans="1:10" x14ac:dyDescent="0.35">
      <c r="A705">
        <v>58258</v>
      </c>
      <c r="B705" t="s">
        <v>149</v>
      </c>
      <c r="C705" t="s">
        <v>1587</v>
      </c>
      <c r="D705" t="s">
        <v>1552</v>
      </c>
      <c r="E705" t="s">
        <v>152</v>
      </c>
      <c r="G705">
        <v>0</v>
      </c>
      <c r="H705">
        <v>1</v>
      </c>
      <c r="I705" t="s">
        <v>1588</v>
      </c>
      <c r="J705" t="s">
        <v>995</v>
      </c>
    </row>
    <row r="706" spans="1:10" x14ac:dyDescent="0.35">
      <c r="A706">
        <v>58259</v>
      </c>
      <c r="B706" t="s">
        <v>149</v>
      </c>
      <c r="C706" t="s">
        <v>1589</v>
      </c>
      <c r="D706" t="s">
        <v>1552</v>
      </c>
      <c r="E706" t="s">
        <v>152</v>
      </c>
      <c r="G706">
        <v>0</v>
      </c>
      <c r="H706">
        <v>1</v>
      </c>
      <c r="I706" t="s">
        <v>1590</v>
      </c>
      <c r="J706" t="s">
        <v>995</v>
      </c>
    </row>
    <row r="707" spans="1:10" x14ac:dyDescent="0.35">
      <c r="A707">
        <v>58260</v>
      </c>
      <c r="B707" t="s">
        <v>149</v>
      </c>
      <c r="C707" t="s">
        <v>1591</v>
      </c>
      <c r="D707" t="s">
        <v>1552</v>
      </c>
      <c r="E707" t="s">
        <v>152</v>
      </c>
      <c r="G707">
        <v>0</v>
      </c>
      <c r="H707">
        <v>1</v>
      </c>
      <c r="I707" t="s">
        <v>1592</v>
      </c>
      <c r="J707" t="s">
        <v>172</v>
      </c>
    </row>
    <row r="708" spans="1:10" x14ac:dyDescent="0.35">
      <c r="A708">
        <v>58261</v>
      </c>
      <c r="B708" t="s">
        <v>149</v>
      </c>
      <c r="C708" t="s">
        <v>1593</v>
      </c>
      <c r="D708" t="s">
        <v>1552</v>
      </c>
      <c r="E708" t="s">
        <v>152</v>
      </c>
      <c r="G708">
        <v>0</v>
      </c>
      <c r="H708">
        <v>1</v>
      </c>
      <c r="I708" t="s">
        <v>1594</v>
      </c>
      <c r="J708" t="s">
        <v>995</v>
      </c>
    </row>
    <row r="709" spans="1:10" x14ac:dyDescent="0.35">
      <c r="A709">
        <v>58262</v>
      </c>
      <c r="B709" t="s">
        <v>149</v>
      </c>
      <c r="C709" t="s">
        <v>1595</v>
      </c>
      <c r="D709" t="s">
        <v>185</v>
      </c>
      <c r="E709" t="s">
        <v>152</v>
      </c>
      <c r="G709">
        <v>0</v>
      </c>
      <c r="H709">
        <v>1</v>
      </c>
      <c r="I709" t="s">
        <v>1596</v>
      </c>
      <c r="J709" t="s">
        <v>201</v>
      </c>
    </row>
    <row r="710" spans="1:10" x14ac:dyDescent="0.35">
      <c r="A710">
        <v>58263</v>
      </c>
      <c r="B710" t="s">
        <v>149</v>
      </c>
      <c r="C710" t="s">
        <v>1597</v>
      </c>
      <c r="D710" t="s">
        <v>1552</v>
      </c>
      <c r="E710" t="s">
        <v>152</v>
      </c>
      <c r="G710">
        <v>0</v>
      </c>
      <c r="H710">
        <v>1</v>
      </c>
      <c r="I710" t="s">
        <v>1598</v>
      </c>
      <c r="J710" t="s">
        <v>172</v>
      </c>
    </row>
    <row r="711" spans="1:10" x14ac:dyDescent="0.35">
      <c r="A711">
        <v>58264</v>
      </c>
      <c r="B711" t="s">
        <v>149</v>
      </c>
      <c r="C711" t="s">
        <v>1599</v>
      </c>
      <c r="D711" t="s">
        <v>1552</v>
      </c>
      <c r="E711" t="s">
        <v>152</v>
      </c>
      <c r="G711">
        <v>0</v>
      </c>
      <c r="H711">
        <v>1</v>
      </c>
      <c r="I711" t="s">
        <v>1600</v>
      </c>
      <c r="J711" t="s">
        <v>947</v>
      </c>
    </row>
    <row r="712" spans="1:10" x14ac:dyDescent="0.35">
      <c r="A712">
        <v>58265</v>
      </c>
      <c r="B712" t="s">
        <v>149</v>
      </c>
      <c r="C712" t="s">
        <v>1601</v>
      </c>
      <c r="D712" t="s">
        <v>1552</v>
      </c>
      <c r="E712" t="s">
        <v>152</v>
      </c>
      <c r="G712">
        <v>0</v>
      </c>
      <c r="H712">
        <v>1</v>
      </c>
      <c r="I712" t="s">
        <v>1602</v>
      </c>
      <c r="J712" t="s">
        <v>947</v>
      </c>
    </row>
    <row r="713" spans="1:10" x14ac:dyDescent="0.35">
      <c r="A713">
        <v>58266</v>
      </c>
      <c r="B713" t="s">
        <v>149</v>
      </c>
      <c r="C713" t="s">
        <v>1603</v>
      </c>
      <c r="D713" t="s">
        <v>1552</v>
      </c>
      <c r="E713" t="s">
        <v>152</v>
      </c>
      <c r="G713">
        <v>0</v>
      </c>
      <c r="H713">
        <v>1</v>
      </c>
      <c r="I713" t="s">
        <v>1604</v>
      </c>
      <c r="J713" t="s">
        <v>947</v>
      </c>
    </row>
    <row r="714" spans="1:10" x14ac:dyDescent="0.35">
      <c r="A714">
        <v>58267</v>
      </c>
      <c r="B714" t="s">
        <v>149</v>
      </c>
      <c r="C714" t="s">
        <v>1605</v>
      </c>
      <c r="D714" t="s">
        <v>1552</v>
      </c>
      <c r="E714" t="s">
        <v>152</v>
      </c>
      <c r="G714">
        <v>0</v>
      </c>
      <c r="H714">
        <v>1</v>
      </c>
      <c r="I714" t="s">
        <v>1606</v>
      </c>
      <c r="J714" t="s">
        <v>995</v>
      </c>
    </row>
    <row r="715" spans="1:10" x14ac:dyDescent="0.35">
      <c r="A715">
        <v>58268</v>
      </c>
      <c r="B715" t="s">
        <v>149</v>
      </c>
      <c r="C715" t="s">
        <v>1607</v>
      </c>
      <c r="D715" t="s">
        <v>1552</v>
      </c>
      <c r="E715" t="s">
        <v>152</v>
      </c>
      <c r="G715">
        <v>0</v>
      </c>
      <c r="H715">
        <v>1</v>
      </c>
      <c r="I715" t="s">
        <v>1608</v>
      </c>
      <c r="J715" t="s">
        <v>995</v>
      </c>
    </row>
    <row r="716" spans="1:10" x14ac:dyDescent="0.35">
      <c r="A716">
        <v>58269</v>
      </c>
      <c r="B716" t="s">
        <v>149</v>
      </c>
      <c r="C716" t="s">
        <v>1609</v>
      </c>
      <c r="D716" t="s">
        <v>1552</v>
      </c>
      <c r="E716" t="s">
        <v>152</v>
      </c>
      <c r="G716">
        <v>0</v>
      </c>
      <c r="H716">
        <v>1</v>
      </c>
      <c r="I716" t="s">
        <v>1610</v>
      </c>
      <c r="J716" t="s">
        <v>995</v>
      </c>
    </row>
    <row r="717" spans="1:10" x14ac:dyDescent="0.35">
      <c r="A717">
        <v>58270</v>
      </c>
      <c r="B717" t="s">
        <v>149</v>
      </c>
      <c r="C717" t="s">
        <v>1611</v>
      </c>
      <c r="D717" t="s">
        <v>1552</v>
      </c>
      <c r="E717" t="s">
        <v>152</v>
      </c>
      <c r="G717">
        <v>0</v>
      </c>
      <c r="H717">
        <v>1</v>
      </c>
      <c r="I717" t="s">
        <v>1612</v>
      </c>
      <c r="J717" t="s">
        <v>947</v>
      </c>
    </row>
    <row r="718" spans="1:10" x14ac:dyDescent="0.35">
      <c r="A718">
        <v>58271</v>
      </c>
      <c r="B718" t="s">
        <v>149</v>
      </c>
      <c r="C718" t="s">
        <v>1613</v>
      </c>
      <c r="D718" t="s">
        <v>1552</v>
      </c>
      <c r="E718" t="s">
        <v>152</v>
      </c>
      <c r="G718">
        <v>0</v>
      </c>
      <c r="H718">
        <v>0.5</v>
      </c>
      <c r="I718" t="s">
        <v>1614</v>
      </c>
      <c r="J718" t="s">
        <v>995</v>
      </c>
    </row>
    <row r="719" spans="1:10" x14ac:dyDescent="0.35">
      <c r="A719">
        <v>58272</v>
      </c>
      <c r="B719" t="s">
        <v>149</v>
      </c>
      <c r="C719" t="s">
        <v>1615</v>
      </c>
      <c r="D719" t="s">
        <v>1552</v>
      </c>
      <c r="E719" t="s">
        <v>152</v>
      </c>
      <c r="G719">
        <v>0</v>
      </c>
      <c r="H719">
        <v>0.5</v>
      </c>
      <c r="I719" t="s">
        <v>1616</v>
      </c>
      <c r="J719" t="s">
        <v>995</v>
      </c>
    </row>
    <row r="720" spans="1:10" x14ac:dyDescent="0.35">
      <c r="A720">
        <v>58273</v>
      </c>
      <c r="B720" t="s">
        <v>149</v>
      </c>
      <c r="C720" t="s">
        <v>1617</v>
      </c>
      <c r="D720" t="s">
        <v>1552</v>
      </c>
      <c r="E720" t="s">
        <v>152</v>
      </c>
      <c r="G720">
        <v>0</v>
      </c>
      <c r="H720">
        <v>0.5</v>
      </c>
      <c r="I720" t="s">
        <v>1618</v>
      </c>
      <c r="J720" t="s">
        <v>995</v>
      </c>
    </row>
    <row r="721" spans="1:10" x14ac:dyDescent="0.35">
      <c r="A721">
        <v>58274</v>
      </c>
      <c r="B721" t="s">
        <v>149</v>
      </c>
      <c r="C721" t="s">
        <v>1619</v>
      </c>
      <c r="D721" t="s">
        <v>1552</v>
      </c>
      <c r="E721" t="s">
        <v>152</v>
      </c>
      <c r="G721">
        <v>0</v>
      </c>
      <c r="H721">
        <v>0.5</v>
      </c>
      <c r="I721" t="s">
        <v>1620</v>
      </c>
      <c r="J721" t="s">
        <v>995</v>
      </c>
    </row>
    <row r="722" spans="1:10" x14ac:dyDescent="0.35">
      <c r="A722">
        <v>58275</v>
      </c>
      <c r="B722" t="s">
        <v>149</v>
      </c>
      <c r="C722" t="s">
        <v>1621</v>
      </c>
      <c r="D722" t="s">
        <v>1552</v>
      </c>
      <c r="E722" t="s">
        <v>152</v>
      </c>
      <c r="G722">
        <v>0</v>
      </c>
      <c r="H722">
        <v>0.5</v>
      </c>
      <c r="I722" t="s">
        <v>1622</v>
      </c>
      <c r="J722" t="s">
        <v>995</v>
      </c>
    </row>
    <row r="723" spans="1:10" x14ac:dyDescent="0.35">
      <c r="A723">
        <v>58276</v>
      </c>
      <c r="B723" t="s">
        <v>149</v>
      </c>
      <c r="C723" t="s">
        <v>1623</v>
      </c>
      <c r="D723" t="s">
        <v>1552</v>
      </c>
      <c r="E723" t="s">
        <v>152</v>
      </c>
      <c r="G723">
        <v>0</v>
      </c>
      <c r="H723">
        <v>0.5</v>
      </c>
      <c r="I723" t="s">
        <v>1624</v>
      </c>
      <c r="J723" t="s">
        <v>998</v>
      </c>
    </row>
    <row r="724" spans="1:10" x14ac:dyDescent="0.35">
      <c r="A724">
        <v>58277</v>
      </c>
      <c r="B724" t="s">
        <v>149</v>
      </c>
      <c r="C724" t="s">
        <v>1625</v>
      </c>
      <c r="D724" t="s">
        <v>1552</v>
      </c>
      <c r="E724" t="s">
        <v>152</v>
      </c>
      <c r="G724">
        <v>0</v>
      </c>
      <c r="H724">
        <v>1</v>
      </c>
      <c r="I724" t="s">
        <v>1626</v>
      </c>
      <c r="J724" t="s">
        <v>995</v>
      </c>
    </row>
    <row r="725" spans="1:10" x14ac:dyDescent="0.35">
      <c r="A725">
        <v>58278</v>
      </c>
      <c r="B725" t="s">
        <v>149</v>
      </c>
      <c r="C725" t="s">
        <v>1627</v>
      </c>
      <c r="D725" t="s">
        <v>1552</v>
      </c>
      <c r="E725" t="s">
        <v>152</v>
      </c>
      <c r="G725">
        <v>0</v>
      </c>
      <c r="H725">
        <v>1</v>
      </c>
      <c r="I725" t="s">
        <v>1628</v>
      </c>
      <c r="J725" t="s">
        <v>998</v>
      </c>
    </row>
    <row r="726" spans="1:10" x14ac:dyDescent="0.35">
      <c r="A726">
        <v>58279</v>
      </c>
      <c r="B726" t="s">
        <v>149</v>
      </c>
      <c r="C726" t="s">
        <v>1629</v>
      </c>
      <c r="D726" t="s">
        <v>1552</v>
      </c>
      <c r="E726" t="s">
        <v>152</v>
      </c>
      <c r="G726">
        <v>0</v>
      </c>
      <c r="H726">
        <v>1</v>
      </c>
      <c r="I726" t="s">
        <v>1630</v>
      </c>
      <c r="J726" t="s">
        <v>998</v>
      </c>
    </row>
    <row r="727" spans="1:10" x14ac:dyDescent="0.35">
      <c r="A727">
        <v>58280</v>
      </c>
      <c r="B727" t="s">
        <v>149</v>
      </c>
      <c r="C727" t="s">
        <v>1631</v>
      </c>
      <c r="D727" t="s">
        <v>1552</v>
      </c>
      <c r="E727" t="s">
        <v>152</v>
      </c>
      <c r="G727">
        <v>0</v>
      </c>
      <c r="H727">
        <v>1</v>
      </c>
      <c r="I727" t="s">
        <v>1632</v>
      </c>
      <c r="J727" t="s">
        <v>998</v>
      </c>
    </row>
    <row r="728" spans="1:10" x14ac:dyDescent="0.35">
      <c r="A728">
        <v>58281</v>
      </c>
      <c r="B728" t="s">
        <v>149</v>
      </c>
      <c r="C728" t="s">
        <v>1633</v>
      </c>
      <c r="D728" t="s">
        <v>1552</v>
      </c>
      <c r="E728" t="s">
        <v>152</v>
      </c>
      <c r="G728">
        <v>0</v>
      </c>
      <c r="H728">
        <v>1</v>
      </c>
      <c r="I728" t="s">
        <v>1634</v>
      </c>
      <c r="J728" t="s">
        <v>998</v>
      </c>
    </row>
    <row r="729" spans="1:10" x14ac:dyDescent="0.35">
      <c r="A729">
        <v>58282</v>
      </c>
      <c r="B729" t="s">
        <v>149</v>
      </c>
      <c r="C729" t="s">
        <v>1635</v>
      </c>
      <c r="D729" t="s">
        <v>1552</v>
      </c>
      <c r="E729" t="s">
        <v>152</v>
      </c>
      <c r="G729">
        <v>0</v>
      </c>
      <c r="H729">
        <v>1</v>
      </c>
      <c r="I729" t="s">
        <v>1636</v>
      </c>
      <c r="J729" t="s">
        <v>998</v>
      </c>
    </row>
    <row r="730" spans="1:10" x14ac:dyDescent="0.35">
      <c r="A730">
        <v>58283</v>
      </c>
      <c r="B730" t="s">
        <v>149</v>
      </c>
      <c r="C730" t="s">
        <v>1637</v>
      </c>
      <c r="D730" t="s">
        <v>1552</v>
      </c>
      <c r="E730" t="s">
        <v>152</v>
      </c>
      <c r="G730">
        <v>0</v>
      </c>
      <c r="H730">
        <v>1</v>
      </c>
      <c r="I730" t="s">
        <v>1638</v>
      </c>
      <c r="J730" t="s">
        <v>998</v>
      </c>
    </row>
    <row r="731" spans="1:10" x14ac:dyDescent="0.35">
      <c r="A731">
        <v>58284</v>
      </c>
      <c r="B731" t="s">
        <v>149</v>
      </c>
      <c r="C731" t="s">
        <v>1639</v>
      </c>
      <c r="D731" t="s">
        <v>1552</v>
      </c>
      <c r="E731" t="s">
        <v>152</v>
      </c>
      <c r="G731">
        <v>0</v>
      </c>
      <c r="H731">
        <v>1</v>
      </c>
      <c r="I731" t="s">
        <v>1640</v>
      </c>
      <c r="J731" t="s">
        <v>998</v>
      </c>
    </row>
    <row r="732" spans="1:10" x14ac:dyDescent="0.35">
      <c r="A732">
        <v>58285</v>
      </c>
      <c r="B732" t="s">
        <v>149</v>
      </c>
      <c r="C732" t="s">
        <v>1641</v>
      </c>
      <c r="D732" t="s">
        <v>1552</v>
      </c>
      <c r="E732" t="s">
        <v>152</v>
      </c>
      <c r="G732">
        <v>0</v>
      </c>
      <c r="H732">
        <v>0.25</v>
      </c>
      <c r="I732" t="s">
        <v>1642</v>
      </c>
      <c r="J732" t="s">
        <v>998</v>
      </c>
    </row>
    <row r="733" spans="1:10" x14ac:dyDescent="0.35">
      <c r="A733">
        <v>58286</v>
      </c>
      <c r="B733" t="s">
        <v>149</v>
      </c>
      <c r="C733" t="s">
        <v>1643</v>
      </c>
      <c r="D733" t="s">
        <v>1552</v>
      </c>
      <c r="E733" t="s">
        <v>152</v>
      </c>
      <c r="G733">
        <v>0</v>
      </c>
      <c r="H733">
        <v>0.25</v>
      </c>
      <c r="I733" t="s">
        <v>1644</v>
      </c>
      <c r="J733" t="s">
        <v>998</v>
      </c>
    </row>
    <row r="734" spans="1:10" x14ac:dyDescent="0.35">
      <c r="A734">
        <v>58287</v>
      </c>
      <c r="B734" t="s">
        <v>149</v>
      </c>
      <c r="C734" t="s">
        <v>1645</v>
      </c>
      <c r="D734" t="s">
        <v>1552</v>
      </c>
      <c r="E734" t="s">
        <v>152</v>
      </c>
      <c r="G734">
        <v>0</v>
      </c>
      <c r="H734">
        <v>1</v>
      </c>
      <c r="I734" t="s">
        <v>1646</v>
      </c>
      <c r="J734" t="s">
        <v>172</v>
      </c>
    </row>
    <row r="735" spans="1:10" x14ac:dyDescent="0.35">
      <c r="A735">
        <v>58288</v>
      </c>
      <c r="B735" t="s">
        <v>149</v>
      </c>
      <c r="C735" t="s">
        <v>1647</v>
      </c>
      <c r="D735" t="s">
        <v>1552</v>
      </c>
      <c r="E735" t="s">
        <v>152</v>
      </c>
      <c r="G735">
        <v>0</v>
      </c>
      <c r="H735">
        <v>1</v>
      </c>
      <c r="I735" t="s">
        <v>1648</v>
      </c>
      <c r="J735" t="s">
        <v>998</v>
      </c>
    </row>
    <row r="736" spans="1:10" x14ac:dyDescent="0.35">
      <c r="A736">
        <v>58289</v>
      </c>
      <c r="B736" t="s">
        <v>149</v>
      </c>
      <c r="C736" t="s">
        <v>1649</v>
      </c>
      <c r="D736" t="s">
        <v>1552</v>
      </c>
      <c r="E736" t="s">
        <v>152</v>
      </c>
      <c r="G736">
        <v>0</v>
      </c>
      <c r="H736">
        <v>1</v>
      </c>
      <c r="I736" t="s">
        <v>1650</v>
      </c>
      <c r="J736" t="s">
        <v>998</v>
      </c>
    </row>
    <row r="737" spans="1:10" x14ac:dyDescent="0.35">
      <c r="A737">
        <v>58290</v>
      </c>
      <c r="B737" t="s">
        <v>149</v>
      </c>
      <c r="C737" t="s">
        <v>1651</v>
      </c>
      <c r="D737" t="s">
        <v>1552</v>
      </c>
      <c r="E737" t="s">
        <v>152</v>
      </c>
      <c r="G737">
        <v>0</v>
      </c>
      <c r="H737">
        <v>1</v>
      </c>
      <c r="I737" t="s">
        <v>1652</v>
      </c>
      <c r="J737" t="s">
        <v>998</v>
      </c>
    </row>
    <row r="738" spans="1:10" x14ac:dyDescent="0.35">
      <c r="A738">
        <v>58291</v>
      </c>
      <c r="B738" t="s">
        <v>149</v>
      </c>
      <c r="C738" t="s">
        <v>1653</v>
      </c>
      <c r="D738" t="s">
        <v>1552</v>
      </c>
      <c r="E738" t="s">
        <v>152</v>
      </c>
      <c r="G738">
        <v>0</v>
      </c>
      <c r="H738">
        <v>0.5</v>
      </c>
      <c r="I738" t="s">
        <v>1654</v>
      </c>
      <c r="J738" t="s">
        <v>998</v>
      </c>
    </row>
    <row r="739" spans="1:10" x14ac:dyDescent="0.35">
      <c r="A739">
        <v>58292</v>
      </c>
      <c r="B739" t="s">
        <v>149</v>
      </c>
      <c r="C739" t="s">
        <v>1655</v>
      </c>
      <c r="D739" t="s">
        <v>1552</v>
      </c>
      <c r="E739" t="s">
        <v>152</v>
      </c>
      <c r="G739">
        <v>0</v>
      </c>
      <c r="H739">
        <v>0.5</v>
      </c>
      <c r="I739" t="s">
        <v>1656</v>
      </c>
      <c r="J739" t="s">
        <v>998</v>
      </c>
    </row>
    <row r="740" spans="1:10" x14ac:dyDescent="0.35">
      <c r="A740">
        <v>58293</v>
      </c>
      <c r="B740" t="s">
        <v>149</v>
      </c>
      <c r="C740" t="s">
        <v>1657</v>
      </c>
      <c r="D740" t="s">
        <v>1552</v>
      </c>
      <c r="E740" t="s">
        <v>152</v>
      </c>
      <c r="G740">
        <v>0</v>
      </c>
      <c r="H740">
        <v>0.5</v>
      </c>
      <c r="I740" t="s">
        <v>1658</v>
      </c>
      <c r="J740" t="s">
        <v>995</v>
      </c>
    </row>
    <row r="741" spans="1:10" x14ac:dyDescent="0.35">
      <c r="A741">
        <v>58294</v>
      </c>
      <c r="B741" t="s">
        <v>149</v>
      </c>
      <c r="C741" t="s">
        <v>1659</v>
      </c>
      <c r="D741" t="s">
        <v>1552</v>
      </c>
      <c r="E741" t="s">
        <v>152</v>
      </c>
      <c r="G741">
        <v>0</v>
      </c>
      <c r="H741">
        <v>0.5</v>
      </c>
      <c r="I741" t="s">
        <v>1660</v>
      </c>
      <c r="J741" t="s">
        <v>998</v>
      </c>
    </row>
    <row r="742" spans="1:10" x14ac:dyDescent="0.35">
      <c r="A742">
        <v>58295</v>
      </c>
      <c r="B742" t="s">
        <v>149</v>
      </c>
      <c r="C742" t="s">
        <v>1661</v>
      </c>
      <c r="D742" t="s">
        <v>1552</v>
      </c>
      <c r="E742" t="s">
        <v>152</v>
      </c>
      <c r="G742">
        <v>0</v>
      </c>
      <c r="H742">
        <v>0.5</v>
      </c>
      <c r="I742" t="s">
        <v>1662</v>
      </c>
      <c r="J742" t="s">
        <v>998</v>
      </c>
    </row>
    <row r="743" spans="1:10" x14ac:dyDescent="0.35">
      <c r="A743">
        <v>58296</v>
      </c>
      <c r="B743" t="s">
        <v>149</v>
      </c>
      <c r="C743" t="s">
        <v>1663</v>
      </c>
      <c r="D743" t="s">
        <v>1552</v>
      </c>
      <c r="E743" t="s">
        <v>152</v>
      </c>
      <c r="G743">
        <v>0</v>
      </c>
      <c r="H743">
        <v>0.5</v>
      </c>
      <c r="I743" t="s">
        <v>1664</v>
      </c>
      <c r="J743" t="s">
        <v>998</v>
      </c>
    </row>
    <row r="744" spans="1:10" x14ac:dyDescent="0.35">
      <c r="A744">
        <v>58297</v>
      </c>
      <c r="B744" t="s">
        <v>149</v>
      </c>
      <c r="C744" t="s">
        <v>1665</v>
      </c>
      <c r="D744" t="s">
        <v>1552</v>
      </c>
      <c r="E744" t="s">
        <v>152</v>
      </c>
      <c r="G744">
        <v>0</v>
      </c>
      <c r="H744">
        <v>0.5</v>
      </c>
      <c r="I744" t="s">
        <v>1666</v>
      </c>
      <c r="J744" t="s">
        <v>998</v>
      </c>
    </row>
    <row r="745" spans="1:10" x14ac:dyDescent="0.35">
      <c r="A745">
        <v>58298</v>
      </c>
      <c r="B745" t="s">
        <v>149</v>
      </c>
      <c r="C745" t="s">
        <v>1667</v>
      </c>
      <c r="D745" t="s">
        <v>1552</v>
      </c>
      <c r="E745" t="s">
        <v>152</v>
      </c>
      <c r="G745">
        <v>0</v>
      </c>
      <c r="H745">
        <v>0.5</v>
      </c>
      <c r="I745" t="s">
        <v>1668</v>
      </c>
      <c r="J745" t="s">
        <v>998</v>
      </c>
    </row>
    <row r="746" spans="1:10" x14ac:dyDescent="0.35">
      <c r="A746">
        <v>58299</v>
      </c>
      <c r="B746" t="s">
        <v>149</v>
      </c>
      <c r="C746" t="s">
        <v>1669</v>
      </c>
      <c r="D746" t="s">
        <v>1552</v>
      </c>
      <c r="E746" t="s">
        <v>152</v>
      </c>
      <c r="G746">
        <v>0</v>
      </c>
      <c r="H746">
        <v>1</v>
      </c>
      <c r="I746" t="s">
        <v>1670</v>
      </c>
      <c r="J746" t="s">
        <v>995</v>
      </c>
    </row>
    <row r="747" spans="1:10" x14ac:dyDescent="0.35">
      <c r="A747">
        <v>58300</v>
      </c>
      <c r="B747" t="s">
        <v>149</v>
      </c>
      <c r="C747" t="s">
        <v>1671</v>
      </c>
      <c r="D747" t="s">
        <v>1552</v>
      </c>
      <c r="E747" t="s">
        <v>152</v>
      </c>
      <c r="G747">
        <v>0</v>
      </c>
      <c r="H747">
        <v>0.5</v>
      </c>
      <c r="I747" t="s">
        <v>1672</v>
      </c>
      <c r="J747" t="s">
        <v>998</v>
      </c>
    </row>
    <row r="748" spans="1:10" x14ac:dyDescent="0.35">
      <c r="A748">
        <v>58301</v>
      </c>
      <c r="B748" t="s">
        <v>149</v>
      </c>
      <c r="C748" t="s">
        <v>1673</v>
      </c>
      <c r="D748" t="s">
        <v>1552</v>
      </c>
      <c r="E748" t="s">
        <v>152</v>
      </c>
      <c r="G748">
        <v>0</v>
      </c>
      <c r="H748">
        <v>0.5</v>
      </c>
      <c r="I748" t="s">
        <v>1674</v>
      </c>
      <c r="J748" t="s">
        <v>998</v>
      </c>
    </row>
    <row r="749" spans="1:10" x14ac:dyDescent="0.35">
      <c r="A749">
        <v>58302</v>
      </c>
      <c r="B749" t="s">
        <v>149</v>
      </c>
      <c r="C749" t="s">
        <v>1675</v>
      </c>
      <c r="D749" t="s">
        <v>1552</v>
      </c>
      <c r="E749" t="s">
        <v>152</v>
      </c>
      <c r="G749">
        <v>0</v>
      </c>
      <c r="H749">
        <v>0.5</v>
      </c>
      <c r="I749" t="s">
        <v>1676</v>
      </c>
      <c r="J749" t="s">
        <v>998</v>
      </c>
    </row>
    <row r="750" spans="1:10" x14ac:dyDescent="0.35">
      <c r="A750">
        <v>58303</v>
      </c>
      <c r="B750" t="s">
        <v>149</v>
      </c>
      <c r="C750" t="s">
        <v>1677</v>
      </c>
      <c r="D750" t="s">
        <v>1552</v>
      </c>
      <c r="E750" t="s">
        <v>152</v>
      </c>
      <c r="G750">
        <v>0</v>
      </c>
      <c r="H750">
        <v>1</v>
      </c>
      <c r="I750" t="s">
        <v>1678</v>
      </c>
      <c r="J750" t="s">
        <v>998</v>
      </c>
    </row>
    <row r="751" spans="1:10" x14ac:dyDescent="0.35">
      <c r="A751">
        <v>58304</v>
      </c>
      <c r="B751" t="s">
        <v>149</v>
      </c>
      <c r="C751" t="s">
        <v>1679</v>
      </c>
      <c r="D751" t="s">
        <v>1552</v>
      </c>
      <c r="E751" t="s">
        <v>152</v>
      </c>
      <c r="G751">
        <v>0</v>
      </c>
      <c r="H751">
        <v>0.25</v>
      </c>
      <c r="I751" t="s">
        <v>1680</v>
      </c>
      <c r="J751" t="s">
        <v>998</v>
      </c>
    </row>
    <row r="752" spans="1:10" x14ac:dyDescent="0.35">
      <c r="A752">
        <v>58305</v>
      </c>
      <c r="B752" t="s">
        <v>149</v>
      </c>
      <c r="C752" t="s">
        <v>1681</v>
      </c>
      <c r="D752" t="s">
        <v>1552</v>
      </c>
      <c r="E752" t="s">
        <v>152</v>
      </c>
      <c r="G752">
        <v>0</v>
      </c>
      <c r="H752">
        <v>0.5</v>
      </c>
      <c r="I752" t="s">
        <v>1682</v>
      </c>
      <c r="J752" t="s">
        <v>998</v>
      </c>
    </row>
    <row r="753" spans="1:10" x14ac:dyDescent="0.35">
      <c r="A753">
        <v>58306</v>
      </c>
      <c r="B753" t="s">
        <v>149</v>
      </c>
      <c r="C753" t="s">
        <v>1683</v>
      </c>
      <c r="D753" t="s">
        <v>1552</v>
      </c>
      <c r="E753" t="s">
        <v>152</v>
      </c>
      <c r="G753">
        <v>0</v>
      </c>
      <c r="H753">
        <v>0.5</v>
      </c>
      <c r="I753" t="s">
        <v>1684</v>
      </c>
      <c r="J753" t="s">
        <v>998</v>
      </c>
    </row>
    <row r="754" spans="1:10" x14ac:dyDescent="0.35">
      <c r="A754">
        <v>58307</v>
      </c>
      <c r="B754" t="s">
        <v>149</v>
      </c>
      <c r="C754" t="s">
        <v>1685</v>
      </c>
      <c r="D754" t="s">
        <v>1552</v>
      </c>
      <c r="E754" t="s">
        <v>152</v>
      </c>
      <c r="G754">
        <v>0</v>
      </c>
      <c r="H754">
        <v>1</v>
      </c>
      <c r="I754" t="s">
        <v>1686</v>
      </c>
      <c r="J754" t="s">
        <v>998</v>
      </c>
    </row>
    <row r="755" spans="1:10" x14ac:dyDescent="0.35">
      <c r="A755">
        <v>58308</v>
      </c>
      <c r="B755" t="s">
        <v>149</v>
      </c>
      <c r="C755" t="s">
        <v>1687</v>
      </c>
      <c r="D755" t="s">
        <v>1552</v>
      </c>
      <c r="E755" t="s">
        <v>152</v>
      </c>
      <c r="G755">
        <v>0</v>
      </c>
      <c r="H755">
        <v>1</v>
      </c>
      <c r="I755" t="s">
        <v>1688</v>
      </c>
      <c r="J755" t="s">
        <v>998</v>
      </c>
    </row>
    <row r="756" spans="1:10" x14ac:dyDescent="0.35">
      <c r="A756">
        <v>58309</v>
      </c>
      <c r="B756" t="s">
        <v>149</v>
      </c>
      <c r="C756" t="s">
        <v>1689</v>
      </c>
      <c r="D756" t="s">
        <v>1552</v>
      </c>
      <c r="E756" t="s">
        <v>152</v>
      </c>
      <c r="G756">
        <v>0</v>
      </c>
      <c r="H756">
        <v>0.5</v>
      </c>
      <c r="I756" t="s">
        <v>1690</v>
      </c>
      <c r="J756" t="s">
        <v>998</v>
      </c>
    </row>
    <row r="757" spans="1:10" x14ac:dyDescent="0.35">
      <c r="A757">
        <v>58310</v>
      </c>
      <c r="B757" t="s">
        <v>149</v>
      </c>
      <c r="C757" t="s">
        <v>1691</v>
      </c>
      <c r="D757" t="s">
        <v>1552</v>
      </c>
      <c r="E757" t="s">
        <v>152</v>
      </c>
      <c r="G757">
        <v>0</v>
      </c>
      <c r="H757">
        <v>0.5</v>
      </c>
      <c r="I757" t="s">
        <v>1692</v>
      </c>
      <c r="J757" t="s">
        <v>998</v>
      </c>
    </row>
    <row r="758" spans="1:10" x14ac:dyDescent="0.35">
      <c r="A758">
        <v>58311</v>
      </c>
      <c r="B758" t="s">
        <v>149</v>
      </c>
      <c r="C758" t="s">
        <v>1693</v>
      </c>
      <c r="D758" t="s">
        <v>1552</v>
      </c>
      <c r="E758" t="s">
        <v>152</v>
      </c>
      <c r="G758">
        <v>0</v>
      </c>
      <c r="H758">
        <v>0.5</v>
      </c>
      <c r="I758" t="s">
        <v>1694</v>
      </c>
      <c r="J758" t="s">
        <v>998</v>
      </c>
    </row>
    <row r="759" spans="1:10" x14ac:dyDescent="0.35">
      <c r="A759">
        <v>58312</v>
      </c>
      <c r="B759" t="s">
        <v>149</v>
      </c>
      <c r="C759" t="s">
        <v>1695</v>
      </c>
      <c r="D759" t="s">
        <v>1552</v>
      </c>
      <c r="E759" t="s">
        <v>152</v>
      </c>
      <c r="G759">
        <v>0</v>
      </c>
      <c r="H759">
        <v>0.5</v>
      </c>
      <c r="I759" t="s">
        <v>1696</v>
      </c>
      <c r="J759" t="s">
        <v>998</v>
      </c>
    </row>
    <row r="760" spans="1:10" x14ac:dyDescent="0.35">
      <c r="A760">
        <v>58313</v>
      </c>
      <c r="B760" t="s">
        <v>149</v>
      </c>
      <c r="C760" t="s">
        <v>1697</v>
      </c>
      <c r="D760" t="s">
        <v>1552</v>
      </c>
      <c r="E760" t="s">
        <v>152</v>
      </c>
      <c r="G760">
        <v>0</v>
      </c>
      <c r="H760">
        <v>0.5</v>
      </c>
      <c r="I760" t="s">
        <v>1698</v>
      </c>
      <c r="J760" t="s">
        <v>998</v>
      </c>
    </row>
    <row r="761" spans="1:10" x14ac:dyDescent="0.35">
      <c r="A761">
        <v>58314</v>
      </c>
      <c r="B761" t="s">
        <v>149</v>
      </c>
      <c r="C761" t="s">
        <v>1699</v>
      </c>
      <c r="D761" t="s">
        <v>1552</v>
      </c>
      <c r="E761" t="s">
        <v>152</v>
      </c>
      <c r="G761">
        <v>0</v>
      </c>
      <c r="H761">
        <v>0.5</v>
      </c>
      <c r="I761" t="s">
        <v>1700</v>
      </c>
      <c r="J761" t="s">
        <v>998</v>
      </c>
    </row>
    <row r="762" spans="1:10" x14ac:dyDescent="0.35">
      <c r="A762">
        <v>58315</v>
      </c>
      <c r="B762" t="s">
        <v>149</v>
      </c>
      <c r="C762" t="s">
        <v>1701</v>
      </c>
      <c r="D762" t="s">
        <v>1552</v>
      </c>
      <c r="E762" t="s">
        <v>152</v>
      </c>
      <c r="G762">
        <v>0</v>
      </c>
      <c r="H762">
        <v>0.5</v>
      </c>
      <c r="I762" t="s">
        <v>1702</v>
      </c>
      <c r="J762" t="s">
        <v>995</v>
      </c>
    </row>
    <row r="763" spans="1:10" x14ac:dyDescent="0.35">
      <c r="A763">
        <v>58316</v>
      </c>
      <c r="B763" t="s">
        <v>149</v>
      </c>
      <c r="C763" t="s">
        <v>1703</v>
      </c>
      <c r="D763" t="s">
        <v>1552</v>
      </c>
      <c r="E763" t="s">
        <v>152</v>
      </c>
      <c r="G763">
        <v>0</v>
      </c>
      <c r="H763">
        <v>1</v>
      </c>
      <c r="I763" t="s">
        <v>1704</v>
      </c>
      <c r="J763" t="s">
        <v>995</v>
      </c>
    </row>
    <row r="764" spans="1:10" x14ac:dyDescent="0.35">
      <c r="A764">
        <v>58318</v>
      </c>
      <c r="B764" t="s">
        <v>149</v>
      </c>
      <c r="C764" t="s">
        <v>1705</v>
      </c>
      <c r="D764" t="s">
        <v>1552</v>
      </c>
      <c r="E764" t="s">
        <v>152</v>
      </c>
      <c r="G764">
        <v>0</v>
      </c>
      <c r="H764">
        <v>0.5</v>
      </c>
      <c r="I764" t="s">
        <v>1706</v>
      </c>
      <c r="J764" t="s">
        <v>998</v>
      </c>
    </row>
    <row r="765" spans="1:10" x14ac:dyDescent="0.35">
      <c r="A765">
        <v>58319</v>
      </c>
      <c r="B765" t="s">
        <v>149</v>
      </c>
      <c r="C765" t="s">
        <v>1707</v>
      </c>
      <c r="D765" t="s">
        <v>1552</v>
      </c>
      <c r="E765" t="s">
        <v>152</v>
      </c>
      <c r="G765">
        <v>0</v>
      </c>
      <c r="H765">
        <v>0.25</v>
      </c>
      <c r="I765" t="s">
        <v>1708</v>
      </c>
      <c r="J765" t="s">
        <v>998</v>
      </c>
    </row>
    <row r="766" spans="1:10" x14ac:dyDescent="0.35">
      <c r="A766">
        <v>58320</v>
      </c>
      <c r="B766" t="s">
        <v>149</v>
      </c>
      <c r="C766" t="s">
        <v>1709</v>
      </c>
      <c r="D766" t="s">
        <v>1552</v>
      </c>
      <c r="E766" t="s">
        <v>152</v>
      </c>
      <c r="G766">
        <v>0</v>
      </c>
      <c r="H766">
        <v>0.5</v>
      </c>
      <c r="I766" t="s">
        <v>1710</v>
      </c>
      <c r="J766" t="s">
        <v>998</v>
      </c>
    </row>
    <row r="767" spans="1:10" x14ac:dyDescent="0.35">
      <c r="A767">
        <v>58321</v>
      </c>
      <c r="B767" t="s">
        <v>149</v>
      </c>
      <c r="C767" t="s">
        <v>1711</v>
      </c>
      <c r="D767" t="s">
        <v>1552</v>
      </c>
      <c r="E767" t="s">
        <v>152</v>
      </c>
      <c r="G767">
        <v>0</v>
      </c>
      <c r="H767">
        <v>1</v>
      </c>
      <c r="I767" t="s">
        <v>1712</v>
      </c>
      <c r="J767" t="s">
        <v>998</v>
      </c>
    </row>
    <row r="768" spans="1:10" x14ac:dyDescent="0.35">
      <c r="A768">
        <v>58322</v>
      </c>
      <c r="B768" t="s">
        <v>149</v>
      </c>
      <c r="C768" t="s">
        <v>1713</v>
      </c>
      <c r="D768" t="s">
        <v>1552</v>
      </c>
      <c r="E768" t="s">
        <v>152</v>
      </c>
      <c r="G768">
        <v>0</v>
      </c>
      <c r="H768">
        <v>0.5</v>
      </c>
      <c r="I768" t="s">
        <v>1714</v>
      </c>
      <c r="J768" t="s">
        <v>998</v>
      </c>
    </row>
    <row r="769" spans="1:10" x14ac:dyDescent="0.35">
      <c r="A769">
        <v>58323</v>
      </c>
      <c r="B769" t="s">
        <v>149</v>
      </c>
      <c r="C769" t="s">
        <v>1715</v>
      </c>
      <c r="D769" t="s">
        <v>1552</v>
      </c>
      <c r="E769" t="s">
        <v>152</v>
      </c>
      <c r="G769">
        <v>0</v>
      </c>
      <c r="H769">
        <v>0.5</v>
      </c>
      <c r="I769" t="s">
        <v>1716</v>
      </c>
      <c r="J769" t="s">
        <v>998</v>
      </c>
    </row>
    <row r="770" spans="1:10" x14ac:dyDescent="0.35">
      <c r="A770">
        <v>58324</v>
      </c>
      <c r="B770" t="s">
        <v>149</v>
      </c>
      <c r="C770" t="s">
        <v>1717</v>
      </c>
      <c r="D770" t="s">
        <v>1552</v>
      </c>
      <c r="E770" t="s">
        <v>152</v>
      </c>
      <c r="G770">
        <v>0</v>
      </c>
      <c r="H770">
        <v>1</v>
      </c>
      <c r="I770" t="s">
        <v>1718</v>
      </c>
      <c r="J770" t="s">
        <v>995</v>
      </c>
    </row>
    <row r="771" spans="1:10" x14ac:dyDescent="0.35">
      <c r="A771">
        <v>58325</v>
      </c>
      <c r="B771" t="s">
        <v>149</v>
      </c>
      <c r="C771" t="s">
        <v>1719</v>
      </c>
      <c r="D771" t="s">
        <v>1552</v>
      </c>
      <c r="E771" t="s">
        <v>152</v>
      </c>
      <c r="G771">
        <v>0</v>
      </c>
      <c r="H771">
        <v>1</v>
      </c>
      <c r="I771" t="s">
        <v>1720</v>
      </c>
      <c r="J771" t="s">
        <v>995</v>
      </c>
    </row>
    <row r="772" spans="1:10" x14ac:dyDescent="0.35">
      <c r="A772">
        <v>58326</v>
      </c>
      <c r="B772" t="s">
        <v>149</v>
      </c>
      <c r="C772" t="s">
        <v>1721</v>
      </c>
      <c r="D772" t="s">
        <v>1552</v>
      </c>
      <c r="E772" t="s">
        <v>152</v>
      </c>
      <c r="G772">
        <v>0</v>
      </c>
      <c r="H772">
        <v>1</v>
      </c>
      <c r="I772" t="s">
        <v>1722</v>
      </c>
      <c r="J772" t="s">
        <v>998</v>
      </c>
    </row>
    <row r="773" spans="1:10" x14ac:dyDescent="0.35">
      <c r="A773">
        <v>58327</v>
      </c>
      <c r="B773" t="s">
        <v>149</v>
      </c>
      <c r="C773" t="s">
        <v>1723</v>
      </c>
      <c r="D773" t="s">
        <v>1552</v>
      </c>
      <c r="E773" t="s">
        <v>152</v>
      </c>
      <c r="G773">
        <v>0</v>
      </c>
      <c r="H773">
        <v>1</v>
      </c>
      <c r="I773" t="s">
        <v>1724</v>
      </c>
      <c r="J773" t="s">
        <v>998</v>
      </c>
    </row>
    <row r="774" spans="1:10" x14ac:dyDescent="0.35">
      <c r="A774">
        <v>58328</v>
      </c>
      <c r="B774" t="s">
        <v>149</v>
      </c>
      <c r="C774" t="s">
        <v>1725</v>
      </c>
      <c r="D774" t="s">
        <v>1552</v>
      </c>
      <c r="E774" t="s">
        <v>152</v>
      </c>
      <c r="G774">
        <v>0</v>
      </c>
      <c r="H774">
        <v>0.5</v>
      </c>
      <c r="I774" t="s">
        <v>1726</v>
      </c>
      <c r="J774" t="s">
        <v>998</v>
      </c>
    </row>
    <row r="775" spans="1:10" x14ac:dyDescent="0.35">
      <c r="A775">
        <v>58329</v>
      </c>
      <c r="B775" t="s">
        <v>149</v>
      </c>
      <c r="C775" t="s">
        <v>1727</v>
      </c>
      <c r="D775" t="s">
        <v>1552</v>
      </c>
      <c r="E775" t="s">
        <v>152</v>
      </c>
      <c r="G775">
        <v>0</v>
      </c>
      <c r="H775">
        <v>0.5</v>
      </c>
      <c r="I775" t="s">
        <v>1728</v>
      </c>
      <c r="J775" t="s">
        <v>998</v>
      </c>
    </row>
    <row r="776" spans="1:10" x14ac:dyDescent="0.35">
      <c r="A776">
        <v>58330</v>
      </c>
      <c r="B776" t="s">
        <v>149</v>
      </c>
      <c r="C776" t="s">
        <v>1729</v>
      </c>
      <c r="D776" t="s">
        <v>1552</v>
      </c>
      <c r="E776" t="s">
        <v>152</v>
      </c>
      <c r="G776">
        <v>0</v>
      </c>
      <c r="H776">
        <v>1</v>
      </c>
      <c r="I776" t="s">
        <v>1730</v>
      </c>
      <c r="J776" t="s">
        <v>998</v>
      </c>
    </row>
    <row r="777" spans="1:10" x14ac:dyDescent="0.35">
      <c r="A777">
        <v>58331</v>
      </c>
      <c r="B777" t="s">
        <v>149</v>
      </c>
      <c r="C777" t="s">
        <v>1731</v>
      </c>
      <c r="D777" t="s">
        <v>1552</v>
      </c>
      <c r="E777" t="s">
        <v>152</v>
      </c>
      <c r="G777">
        <v>0</v>
      </c>
      <c r="H777">
        <v>1</v>
      </c>
      <c r="I777" t="s">
        <v>1732</v>
      </c>
      <c r="J777" t="s">
        <v>998</v>
      </c>
    </row>
    <row r="778" spans="1:10" x14ac:dyDescent="0.35">
      <c r="A778">
        <v>58332</v>
      </c>
      <c r="B778" t="s">
        <v>149</v>
      </c>
      <c r="C778" t="s">
        <v>1733</v>
      </c>
      <c r="D778" t="s">
        <v>1552</v>
      </c>
      <c r="E778" t="s">
        <v>152</v>
      </c>
      <c r="G778">
        <v>0</v>
      </c>
      <c r="H778">
        <v>0.5</v>
      </c>
      <c r="I778" t="s">
        <v>1734</v>
      </c>
      <c r="J778" t="s">
        <v>998</v>
      </c>
    </row>
    <row r="779" spans="1:10" x14ac:dyDescent="0.35">
      <c r="A779">
        <v>58333</v>
      </c>
      <c r="B779" t="s">
        <v>149</v>
      </c>
      <c r="C779" t="s">
        <v>1735</v>
      </c>
      <c r="D779" t="s">
        <v>1552</v>
      </c>
      <c r="E779" t="s">
        <v>152</v>
      </c>
      <c r="G779">
        <v>0</v>
      </c>
      <c r="H779">
        <v>0.5</v>
      </c>
      <c r="I779" t="s">
        <v>1736</v>
      </c>
      <c r="J779" t="s">
        <v>998</v>
      </c>
    </row>
    <row r="780" spans="1:10" x14ac:dyDescent="0.35">
      <c r="A780">
        <v>58334</v>
      </c>
      <c r="B780" t="s">
        <v>149</v>
      </c>
      <c r="C780" t="s">
        <v>1737</v>
      </c>
      <c r="D780" t="s">
        <v>1552</v>
      </c>
      <c r="E780" t="s">
        <v>152</v>
      </c>
      <c r="G780">
        <v>0</v>
      </c>
      <c r="H780">
        <v>1</v>
      </c>
      <c r="I780" t="s">
        <v>1738</v>
      </c>
      <c r="J780" t="s">
        <v>998</v>
      </c>
    </row>
    <row r="781" spans="1:10" x14ac:dyDescent="0.35">
      <c r="A781">
        <v>58335</v>
      </c>
      <c r="B781" t="s">
        <v>149</v>
      </c>
      <c r="C781" t="s">
        <v>1739</v>
      </c>
      <c r="D781" t="s">
        <v>1552</v>
      </c>
      <c r="E781" t="s">
        <v>152</v>
      </c>
      <c r="G781">
        <v>0</v>
      </c>
      <c r="H781">
        <v>1</v>
      </c>
      <c r="I781" t="s">
        <v>1740</v>
      </c>
      <c r="J781" t="s">
        <v>998</v>
      </c>
    </row>
    <row r="782" spans="1:10" x14ac:dyDescent="0.35">
      <c r="A782">
        <v>58336</v>
      </c>
      <c r="B782" t="s">
        <v>149</v>
      </c>
      <c r="C782" t="s">
        <v>1741</v>
      </c>
      <c r="D782" t="s">
        <v>1552</v>
      </c>
      <c r="E782" t="s">
        <v>152</v>
      </c>
      <c r="G782">
        <v>0</v>
      </c>
      <c r="H782">
        <v>0.5</v>
      </c>
      <c r="I782" t="s">
        <v>1742</v>
      </c>
      <c r="J782" t="s">
        <v>998</v>
      </c>
    </row>
    <row r="783" spans="1:10" x14ac:dyDescent="0.35">
      <c r="A783">
        <v>58337</v>
      </c>
      <c r="B783" t="s">
        <v>149</v>
      </c>
      <c r="C783" t="s">
        <v>1743</v>
      </c>
      <c r="D783" t="s">
        <v>1552</v>
      </c>
      <c r="E783" t="s">
        <v>152</v>
      </c>
      <c r="G783">
        <v>0</v>
      </c>
      <c r="H783">
        <v>0.5</v>
      </c>
      <c r="I783" t="s">
        <v>1744</v>
      </c>
      <c r="J783" t="s">
        <v>998</v>
      </c>
    </row>
    <row r="784" spans="1:10" x14ac:dyDescent="0.35">
      <c r="A784">
        <v>58338</v>
      </c>
      <c r="B784" t="s">
        <v>149</v>
      </c>
      <c r="C784" t="s">
        <v>1745</v>
      </c>
      <c r="D784" t="s">
        <v>1552</v>
      </c>
      <c r="E784" t="s">
        <v>152</v>
      </c>
      <c r="G784">
        <v>0</v>
      </c>
      <c r="H784">
        <v>1</v>
      </c>
      <c r="I784" t="s">
        <v>1746</v>
      </c>
      <c r="J784" t="s">
        <v>998</v>
      </c>
    </row>
    <row r="785" spans="1:10" x14ac:dyDescent="0.35">
      <c r="A785">
        <v>58339</v>
      </c>
      <c r="B785" t="s">
        <v>149</v>
      </c>
      <c r="C785" t="s">
        <v>1747</v>
      </c>
      <c r="D785" t="s">
        <v>1552</v>
      </c>
      <c r="E785" t="s">
        <v>152</v>
      </c>
      <c r="G785">
        <v>0</v>
      </c>
      <c r="H785">
        <v>0.5</v>
      </c>
      <c r="I785" t="s">
        <v>1748</v>
      </c>
      <c r="J785" t="s">
        <v>998</v>
      </c>
    </row>
    <row r="786" spans="1:10" x14ac:dyDescent="0.35">
      <c r="A786">
        <v>58340</v>
      </c>
      <c r="B786" t="s">
        <v>149</v>
      </c>
      <c r="C786" t="s">
        <v>1749</v>
      </c>
      <c r="D786" t="s">
        <v>1552</v>
      </c>
      <c r="E786" t="s">
        <v>152</v>
      </c>
      <c r="G786">
        <v>0</v>
      </c>
      <c r="H786">
        <v>0.5</v>
      </c>
      <c r="I786" t="s">
        <v>1750</v>
      </c>
      <c r="J786" t="s">
        <v>172</v>
      </c>
    </row>
    <row r="787" spans="1:10" x14ac:dyDescent="0.35">
      <c r="A787">
        <v>58341</v>
      </c>
      <c r="B787" t="s">
        <v>149</v>
      </c>
      <c r="C787" t="s">
        <v>1751</v>
      </c>
      <c r="D787" t="s">
        <v>1552</v>
      </c>
      <c r="E787" t="s">
        <v>152</v>
      </c>
      <c r="G787">
        <v>0</v>
      </c>
      <c r="H787">
        <v>0.5</v>
      </c>
      <c r="I787" t="s">
        <v>1752</v>
      </c>
      <c r="J787" t="s">
        <v>947</v>
      </c>
    </row>
    <row r="788" spans="1:10" x14ac:dyDescent="0.35">
      <c r="A788">
        <v>58342</v>
      </c>
      <c r="B788" t="s">
        <v>149</v>
      </c>
      <c r="C788" t="s">
        <v>1753</v>
      </c>
      <c r="D788" t="s">
        <v>1552</v>
      </c>
      <c r="E788" t="s">
        <v>152</v>
      </c>
      <c r="G788">
        <v>0</v>
      </c>
      <c r="H788">
        <v>0.5</v>
      </c>
      <c r="I788" t="s">
        <v>1754</v>
      </c>
      <c r="J788" t="s">
        <v>995</v>
      </c>
    </row>
    <row r="789" spans="1:10" x14ac:dyDescent="0.35">
      <c r="A789">
        <v>58343</v>
      </c>
      <c r="B789" t="s">
        <v>149</v>
      </c>
      <c r="C789" t="s">
        <v>1755</v>
      </c>
      <c r="D789" t="s">
        <v>1552</v>
      </c>
      <c r="E789" t="s">
        <v>152</v>
      </c>
      <c r="G789">
        <v>0</v>
      </c>
      <c r="H789">
        <v>0.5</v>
      </c>
      <c r="I789" t="s">
        <v>1756</v>
      </c>
      <c r="J789" t="s">
        <v>995</v>
      </c>
    </row>
    <row r="790" spans="1:10" x14ac:dyDescent="0.35">
      <c r="A790">
        <v>58344</v>
      </c>
      <c r="B790" t="s">
        <v>149</v>
      </c>
      <c r="C790" t="s">
        <v>1757</v>
      </c>
      <c r="D790" t="s">
        <v>1552</v>
      </c>
      <c r="E790" t="s">
        <v>152</v>
      </c>
      <c r="G790">
        <v>0</v>
      </c>
      <c r="H790">
        <v>0.5</v>
      </c>
      <c r="I790" t="s">
        <v>1758</v>
      </c>
      <c r="J790" t="s">
        <v>995</v>
      </c>
    </row>
    <row r="791" spans="1:10" x14ac:dyDescent="0.35">
      <c r="A791">
        <v>58345</v>
      </c>
      <c r="B791" t="s">
        <v>149</v>
      </c>
      <c r="C791" t="s">
        <v>1759</v>
      </c>
      <c r="D791" t="s">
        <v>1552</v>
      </c>
      <c r="E791" t="s">
        <v>152</v>
      </c>
      <c r="G791">
        <v>0</v>
      </c>
      <c r="H791">
        <v>0.5</v>
      </c>
      <c r="I791" t="s">
        <v>1760</v>
      </c>
      <c r="J791" t="s">
        <v>995</v>
      </c>
    </row>
    <row r="792" spans="1:10" x14ac:dyDescent="0.35">
      <c r="A792">
        <v>58346</v>
      </c>
      <c r="B792" t="s">
        <v>149</v>
      </c>
      <c r="C792" t="s">
        <v>1761</v>
      </c>
      <c r="D792" t="s">
        <v>1552</v>
      </c>
      <c r="E792" t="s">
        <v>152</v>
      </c>
      <c r="G792">
        <v>0</v>
      </c>
      <c r="H792">
        <v>0.5</v>
      </c>
      <c r="I792" t="s">
        <v>1762</v>
      </c>
      <c r="J792" t="s">
        <v>995</v>
      </c>
    </row>
    <row r="793" spans="1:10" x14ac:dyDescent="0.35">
      <c r="A793">
        <v>58347</v>
      </c>
      <c r="B793" t="s">
        <v>149</v>
      </c>
      <c r="C793" t="s">
        <v>1763</v>
      </c>
      <c r="D793" t="s">
        <v>1552</v>
      </c>
      <c r="E793" t="s">
        <v>152</v>
      </c>
      <c r="G793">
        <v>0</v>
      </c>
      <c r="H793">
        <v>0.5</v>
      </c>
      <c r="I793" t="s">
        <v>1764</v>
      </c>
      <c r="J793" t="s">
        <v>995</v>
      </c>
    </row>
    <row r="794" spans="1:10" x14ac:dyDescent="0.35">
      <c r="A794">
        <v>58348</v>
      </c>
      <c r="B794" t="s">
        <v>149</v>
      </c>
      <c r="C794" t="s">
        <v>1765</v>
      </c>
      <c r="D794" t="s">
        <v>1552</v>
      </c>
      <c r="E794" t="s">
        <v>152</v>
      </c>
      <c r="G794">
        <v>0</v>
      </c>
      <c r="H794">
        <v>0.5</v>
      </c>
      <c r="I794" t="s">
        <v>1766</v>
      </c>
      <c r="J794" t="s">
        <v>947</v>
      </c>
    </row>
    <row r="795" spans="1:10" x14ac:dyDescent="0.35">
      <c r="A795">
        <v>58349</v>
      </c>
      <c r="B795" t="s">
        <v>149</v>
      </c>
      <c r="C795" t="s">
        <v>1767</v>
      </c>
      <c r="D795" t="s">
        <v>1552</v>
      </c>
      <c r="E795" t="s">
        <v>152</v>
      </c>
      <c r="G795">
        <v>0</v>
      </c>
      <c r="H795">
        <v>0.5</v>
      </c>
      <c r="I795" t="s">
        <v>1768</v>
      </c>
      <c r="J795" t="s">
        <v>995</v>
      </c>
    </row>
    <row r="796" spans="1:10" x14ac:dyDescent="0.35">
      <c r="A796">
        <v>58350</v>
      </c>
      <c r="B796" t="s">
        <v>149</v>
      </c>
      <c r="C796" t="s">
        <v>1769</v>
      </c>
      <c r="D796" t="s">
        <v>1552</v>
      </c>
      <c r="E796" t="s">
        <v>152</v>
      </c>
      <c r="G796">
        <v>0</v>
      </c>
      <c r="H796">
        <v>0.5</v>
      </c>
      <c r="I796" t="s">
        <v>1770</v>
      </c>
      <c r="J796" t="s">
        <v>947</v>
      </c>
    </row>
    <row r="797" spans="1:10" x14ac:dyDescent="0.35">
      <c r="A797">
        <v>58351</v>
      </c>
      <c r="B797" t="s">
        <v>149</v>
      </c>
      <c r="C797" t="s">
        <v>1771</v>
      </c>
      <c r="D797" t="s">
        <v>1552</v>
      </c>
      <c r="E797" t="s">
        <v>152</v>
      </c>
      <c r="G797">
        <v>0</v>
      </c>
      <c r="H797">
        <v>0.5</v>
      </c>
      <c r="I797" t="s">
        <v>1772</v>
      </c>
      <c r="J797" t="s">
        <v>947</v>
      </c>
    </row>
    <row r="798" spans="1:10" x14ac:dyDescent="0.35">
      <c r="A798">
        <v>58352</v>
      </c>
      <c r="B798" t="s">
        <v>149</v>
      </c>
      <c r="C798" t="s">
        <v>1773</v>
      </c>
      <c r="D798" t="s">
        <v>1552</v>
      </c>
      <c r="E798" t="s">
        <v>152</v>
      </c>
      <c r="G798">
        <v>0</v>
      </c>
      <c r="H798">
        <v>0.5</v>
      </c>
      <c r="I798" t="s">
        <v>1774</v>
      </c>
      <c r="J798" t="s">
        <v>947</v>
      </c>
    </row>
    <row r="799" spans="1:10" x14ac:dyDescent="0.35">
      <c r="A799">
        <v>58353</v>
      </c>
      <c r="B799" t="s">
        <v>149</v>
      </c>
      <c r="C799" t="s">
        <v>1775</v>
      </c>
      <c r="D799" t="s">
        <v>1552</v>
      </c>
      <c r="E799" t="s">
        <v>152</v>
      </c>
      <c r="G799">
        <v>0</v>
      </c>
      <c r="H799">
        <v>0.5</v>
      </c>
      <c r="I799" t="s">
        <v>1776</v>
      </c>
      <c r="J799" t="s">
        <v>947</v>
      </c>
    </row>
    <row r="800" spans="1:10" x14ac:dyDescent="0.35">
      <c r="A800">
        <v>58354</v>
      </c>
      <c r="B800" t="s">
        <v>149</v>
      </c>
      <c r="C800" t="s">
        <v>1777</v>
      </c>
      <c r="D800" t="s">
        <v>1552</v>
      </c>
      <c r="E800" t="s">
        <v>152</v>
      </c>
      <c r="G800">
        <v>0</v>
      </c>
      <c r="H800">
        <v>0.5</v>
      </c>
      <c r="I800" t="s">
        <v>1778</v>
      </c>
      <c r="J800" t="s">
        <v>947</v>
      </c>
    </row>
    <row r="801" spans="1:10" x14ac:dyDescent="0.35">
      <c r="A801">
        <v>58355</v>
      </c>
      <c r="B801" t="s">
        <v>149</v>
      </c>
      <c r="C801" t="s">
        <v>1779</v>
      </c>
      <c r="D801" t="s">
        <v>1552</v>
      </c>
      <c r="E801" t="s">
        <v>152</v>
      </c>
      <c r="G801">
        <v>0</v>
      </c>
      <c r="H801">
        <v>0.5</v>
      </c>
      <c r="I801" t="s">
        <v>1780</v>
      </c>
      <c r="J801" t="s">
        <v>947</v>
      </c>
    </row>
    <row r="802" spans="1:10" x14ac:dyDescent="0.35">
      <c r="A802">
        <v>58356</v>
      </c>
      <c r="B802" t="s">
        <v>149</v>
      </c>
      <c r="C802" t="s">
        <v>1781</v>
      </c>
      <c r="D802" t="s">
        <v>1552</v>
      </c>
      <c r="E802" t="s">
        <v>152</v>
      </c>
      <c r="G802">
        <v>0</v>
      </c>
      <c r="H802">
        <v>0.5</v>
      </c>
      <c r="I802" t="s">
        <v>1782</v>
      </c>
      <c r="J802" t="s">
        <v>947</v>
      </c>
    </row>
    <row r="803" spans="1:10" x14ac:dyDescent="0.35">
      <c r="A803">
        <v>58357</v>
      </c>
      <c r="B803" t="s">
        <v>149</v>
      </c>
      <c r="C803" t="s">
        <v>1783</v>
      </c>
      <c r="D803" t="s">
        <v>1552</v>
      </c>
      <c r="E803" t="s">
        <v>152</v>
      </c>
      <c r="G803">
        <v>0</v>
      </c>
      <c r="H803">
        <v>0.5</v>
      </c>
      <c r="I803" t="s">
        <v>1784</v>
      </c>
      <c r="J803" t="s">
        <v>172</v>
      </c>
    </row>
    <row r="804" spans="1:10" x14ac:dyDescent="0.35">
      <c r="A804">
        <v>58358</v>
      </c>
      <c r="B804" t="s">
        <v>149</v>
      </c>
      <c r="C804" t="s">
        <v>1785</v>
      </c>
      <c r="D804" t="s">
        <v>1552</v>
      </c>
      <c r="E804" t="s">
        <v>152</v>
      </c>
      <c r="G804">
        <v>0</v>
      </c>
      <c r="H804">
        <v>0.5</v>
      </c>
      <c r="I804" t="s">
        <v>1786</v>
      </c>
      <c r="J804" t="s">
        <v>995</v>
      </c>
    </row>
    <row r="805" spans="1:10" x14ac:dyDescent="0.35">
      <c r="A805">
        <v>58359</v>
      </c>
      <c r="B805" t="s">
        <v>149</v>
      </c>
      <c r="C805" t="s">
        <v>1787</v>
      </c>
      <c r="D805" t="s">
        <v>1552</v>
      </c>
      <c r="E805" t="s">
        <v>152</v>
      </c>
      <c r="G805">
        <v>0</v>
      </c>
      <c r="H805">
        <v>0.5</v>
      </c>
      <c r="I805" t="s">
        <v>1788</v>
      </c>
      <c r="J805" t="s">
        <v>995</v>
      </c>
    </row>
    <row r="806" spans="1:10" x14ac:dyDescent="0.35">
      <c r="A806">
        <v>58360</v>
      </c>
      <c r="B806" t="s">
        <v>149</v>
      </c>
      <c r="C806" t="s">
        <v>1789</v>
      </c>
      <c r="D806" t="s">
        <v>1552</v>
      </c>
      <c r="E806" t="s">
        <v>152</v>
      </c>
      <c r="G806">
        <v>0</v>
      </c>
      <c r="H806">
        <v>0.5</v>
      </c>
      <c r="I806" t="s">
        <v>1790</v>
      </c>
      <c r="J806" t="s">
        <v>947</v>
      </c>
    </row>
    <row r="807" spans="1:10" x14ac:dyDescent="0.35">
      <c r="A807">
        <v>58361</v>
      </c>
      <c r="B807" t="s">
        <v>149</v>
      </c>
      <c r="C807" t="s">
        <v>1791</v>
      </c>
      <c r="D807" t="s">
        <v>1552</v>
      </c>
      <c r="E807" t="s">
        <v>152</v>
      </c>
      <c r="G807">
        <v>0</v>
      </c>
      <c r="H807">
        <v>0.5</v>
      </c>
      <c r="I807" t="s">
        <v>1792</v>
      </c>
      <c r="J807" t="s">
        <v>995</v>
      </c>
    </row>
    <row r="808" spans="1:10" x14ac:dyDescent="0.35">
      <c r="A808">
        <v>58362</v>
      </c>
      <c r="B808" t="s">
        <v>149</v>
      </c>
      <c r="C808" t="s">
        <v>1793</v>
      </c>
      <c r="D808" t="s">
        <v>1552</v>
      </c>
      <c r="E808" t="s">
        <v>152</v>
      </c>
      <c r="G808">
        <v>0</v>
      </c>
      <c r="H808">
        <v>0.5</v>
      </c>
      <c r="I808" t="s">
        <v>1794</v>
      </c>
      <c r="J808" t="s">
        <v>947</v>
      </c>
    </row>
    <row r="809" spans="1:10" x14ac:dyDescent="0.35">
      <c r="A809">
        <v>58363</v>
      </c>
      <c r="B809" t="s">
        <v>149</v>
      </c>
      <c r="C809" t="s">
        <v>1795</v>
      </c>
      <c r="D809" t="s">
        <v>1552</v>
      </c>
      <c r="E809" t="s">
        <v>152</v>
      </c>
      <c r="G809">
        <v>0</v>
      </c>
      <c r="H809">
        <v>0.5</v>
      </c>
      <c r="I809" t="s">
        <v>1796</v>
      </c>
      <c r="J809" t="s">
        <v>947</v>
      </c>
    </row>
    <row r="810" spans="1:10" x14ac:dyDescent="0.35">
      <c r="A810">
        <v>58364</v>
      </c>
      <c r="B810" t="s">
        <v>149</v>
      </c>
      <c r="C810" t="s">
        <v>1797</v>
      </c>
      <c r="D810" t="s">
        <v>1552</v>
      </c>
      <c r="E810" t="s">
        <v>152</v>
      </c>
      <c r="G810">
        <v>0</v>
      </c>
      <c r="H810">
        <v>0.5</v>
      </c>
      <c r="I810" t="s">
        <v>1798</v>
      </c>
      <c r="J810" t="s">
        <v>947</v>
      </c>
    </row>
    <row r="811" spans="1:10" x14ac:dyDescent="0.35">
      <c r="A811">
        <v>58365</v>
      </c>
      <c r="B811" t="s">
        <v>149</v>
      </c>
      <c r="C811" t="s">
        <v>1799</v>
      </c>
      <c r="D811" t="s">
        <v>1552</v>
      </c>
      <c r="E811" t="s">
        <v>152</v>
      </c>
      <c r="G811">
        <v>0</v>
      </c>
      <c r="H811">
        <v>0.5</v>
      </c>
      <c r="I811" t="s">
        <v>1800</v>
      </c>
      <c r="J811" t="s">
        <v>995</v>
      </c>
    </row>
    <row r="812" spans="1:10" x14ac:dyDescent="0.35">
      <c r="A812">
        <v>58366</v>
      </c>
      <c r="B812" t="s">
        <v>149</v>
      </c>
      <c r="C812" t="s">
        <v>1801</v>
      </c>
      <c r="D812" t="s">
        <v>1552</v>
      </c>
      <c r="E812" t="s">
        <v>152</v>
      </c>
      <c r="G812">
        <v>0</v>
      </c>
      <c r="H812">
        <v>0.5</v>
      </c>
      <c r="I812" t="s">
        <v>1802</v>
      </c>
      <c r="J812" t="s">
        <v>947</v>
      </c>
    </row>
    <row r="813" spans="1:10" x14ac:dyDescent="0.35">
      <c r="A813">
        <v>58367</v>
      </c>
      <c r="B813" t="s">
        <v>149</v>
      </c>
      <c r="C813" t="s">
        <v>1803</v>
      </c>
      <c r="D813" t="s">
        <v>1552</v>
      </c>
      <c r="E813" t="s">
        <v>152</v>
      </c>
      <c r="G813">
        <v>0</v>
      </c>
      <c r="H813">
        <v>0.5</v>
      </c>
      <c r="I813" t="s">
        <v>1804</v>
      </c>
      <c r="J813" t="s">
        <v>998</v>
      </c>
    </row>
    <row r="814" spans="1:10" x14ac:dyDescent="0.35">
      <c r="A814">
        <v>58368</v>
      </c>
      <c r="B814" t="s">
        <v>149</v>
      </c>
      <c r="C814" t="s">
        <v>1805</v>
      </c>
      <c r="D814" t="s">
        <v>1552</v>
      </c>
      <c r="E814" t="s">
        <v>152</v>
      </c>
      <c r="G814">
        <v>0</v>
      </c>
      <c r="H814">
        <v>1</v>
      </c>
      <c r="I814" t="s">
        <v>1806</v>
      </c>
      <c r="J814" t="s">
        <v>998</v>
      </c>
    </row>
    <row r="815" spans="1:10" x14ac:dyDescent="0.35">
      <c r="A815">
        <v>58369</v>
      </c>
      <c r="B815" t="s">
        <v>149</v>
      </c>
      <c r="C815" t="s">
        <v>1807</v>
      </c>
      <c r="D815" t="s">
        <v>1552</v>
      </c>
      <c r="E815" t="s">
        <v>152</v>
      </c>
      <c r="G815">
        <v>0</v>
      </c>
      <c r="H815">
        <v>0.5</v>
      </c>
      <c r="I815" t="s">
        <v>1808</v>
      </c>
      <c r="J815" t="s">
        <v>998</v>
      </c>
    </row>
    <row r="816" spans="1:10" x14ac:dyDescent="0.35">
      <c r="A816">
        <v>58370</v>
      </c>
      <c r="B816" t="s">
        <v>149</v>
      </c>
      <c r="C816" t="s">
        <v>1805</v>
      </c>
      <c r="D816" t="s">
        <v>1552</v>
      </c>
      <c r="E816" t="s">
        <v>152</v>
      </c>
      <c r="G816">
        <v>0</v>
      </c>
      <c r="H816">
        <v>0.5</v>
      </c>
      <c r="I816" t="s">
        <v>1809</v>
      </c>
      <c r="J816" t="s">
        <v>998</v>
      </c>
    </row>
    <row r="817" spans="1:10" x14ac:dyDescent="0.35">
      <c r="A817">
        <v>58371</v>
      </c>
      <c r="B817" t="s">
        <v>149</v>
      </c>
      <c r="C817" t="s">
        <v>1810</v>
      </c>
      <c r="D817" t="s">
        <v>1552</v>
      </c>
      <c r="E817" t="s">
        <v>152</v>
      </c>
      <c r="G817">
        <v>0</v>
      </c>
      <c r="H817">
        <v>0.5</v>
      </c>
      <c r="I817" t="s">
        <v>1811</v>
      </c>
      <c r="J817" t="s">
        <v>998</v>
      </c>
    </row>
    <row r="818" spans="1:10" x14ac:dyDescent="0.35">
      <c r="A818">
        <v>58372</v>
      </c>
      <c r="B818" t="s">
        <v>149</v>
      </c>
      <c r="C818" t="s">
        <v>1812</v>
      </c>
      <c r="D818" t="s">
        <v>1552</v>
      </c>
      <c r="E818" t="s">
        <v>152</v>
      </c>
      <c r="G818">
        <v>0</v>
      </c>
      <c r="H818">
        <v>0.5</v>
      </c>
      <c r="I818" t="s">
        <v>1813</v>
      </c>
      <c r="J818" t="s">
        <v>998</v>
      </c>
    </row>
    <row r="819" spans="1:10" x14ac:dyDescent="0.35">
      <c r="A819">
        <v>58373</v>
      </c>
      <c r="B819" t="s">
        <v>149</v>
      </c>
      <c r="C819" t="s">
        <v>1814</v>
      </c>
      <c r="D819" t="s">
        <v>1552</v>
      </c>
      <c r="E819" t="s">
        <v>152</v>
      </c>
      <c r="G819">
        <v>0</v>
      </c>
      <c r="H819">
        <v>0.5</v>
      </c>
      <c r="I819" t="s">
        <v>1815</v>
      </c>
      <c r="J819" t="s">
        <v>998</v>
      </c>
    </row>
    <row r="820" spans="1:10" x14ac:dyDescent="0.35">
      <c r="A820">
        <v>58374</v>
      </c>
      <c r="B820" t="s">
        <v>149</v>
      </c>
      <c r="C820" t="s">
        <v>1816</v>
      </c>
      <c r="D820" t="s">
        <v>1552</v>
      </c>
      <c r="E820" t="s">
        <v>152</v>
      </c>
      <c r="G820">
        <v>0</v>
      </c>
      <c r="H820">
        <v>0.5</v>
      </c>
      <c r="I820" t="s">
        <v>1817</v>
      </c>
      <c r="J820" t="s">
        <v>998</v>
      </c>
    </row>
    <row r="821" spans="1:10" x14ac:dyDescent="0.35">
      <c r="A821">
        <v>58375</v>
      </c>
      <c r="B821" t="s">
        <v>149</v>
      </c>
      <c r="C821" t="s">
        <v>1818</v>
      </c>
      <c r="D821" t="s">
        <v>1552</v>
      </c>
      <c r="E821" t="s">
        <v>152</v>
      </c>
      <c r="G821">
        <v>0</v>
      </c>
      <c r="H821">
        <v>0.5</v>
      </c>
      <c r="I821" t="s">
        <v>1819</v>
      </c>
      <c r="J821" t="s">
        <v>998</v>
      </c>
    </row>
    <row r="822" spans="1:10" x14ac:dyDescent="0.35">
      <c r="A822">
        <v>58376</v>
      </c>
      <c r="B822" t="s">
        <v>149</v>
      </c>
      <c r="C822" t="s">
        <v>1820</v>
      </c>
      <c r="D822" t="s">
        <v>1552</v>
      </c>
      <c r="E822" t="s">
        <v>152</v>
      </c>
      <c r="G822">
        <v>0</v>
      </c>
      <c r="H822">
        <v>0.5</v>
      </c>
      <c r="I822" t="s">
        <v>1821</v>
      </c>
      <c r="J822" t="s">
        <v>998</v>
      </c>
    </row>
    <row r="823" spans="1:10" x14ac:dyDescent="0.35">
      <c r="A823">
        <v>58377</v>
      </c>
      <c r="B823" t="s">
        <v>149</v>
      </c>
      <c r="C823" t="s">
        <v>1822</v>
      </c>
      <c r="D823" t="s">
        <v>1552</v>
      </c>
      <c r="E823" t="s">
        <v>152</v>
      </c>
      <c r="G823">
        <v>0</v>
      </c>
      <c r="H823">
        <v>0.5</v>
      </c>
      <c r="I823" t="s">
        <v>1823</v>
      </c>
      <c r="J823" t="s">
        <v>998</v>
      </c>
    </row>
    <row r="824" spans="1:10" x14ac:dyDescent="0.35">
      <c r="A824">
        <v>58378</v>
      </c>
      <c r="B824" t="s">
        <v>149</v>
      </c>
      <c r="C824" t="s">
        <v>1824</v>
      </c>
      <c r="D824" t="s">
        <v>1552</v>
      </c>
      <c r="E824" t="s">
        <v>152</v>
      </c>
      <c r="G824">
        <v>0</v>
      </c>
      <c r="H824">
        <v>0.5</v>
      </c>
      <c r="I824" t="s">
        <v>1825</v>
      </c>
      <c r="J824" t="s">
        <v>998</v>
      </c>
    </row>
    <row r="825" spans="1:10" x14ac:dyDescent="0.35">
      <c r="A825">
        <v>58379</v>
      </c>
      <c r="B825" t="s">
        <v>149</v>
      </c>
      <c r="C825" t="s">
        <v>1826</v>
      </c>
      <c r="D825" t="s">
        <v>1552</v>
      </c>
      <c r="E825" t="s">
        <v>152</v>
      </c>
      <c r="G825">
        <v>0</v>
      </c>
      <c r="H825">
        <v>1</v>
      </c>
      <c r="I825" t="s">
        <v>1827</v>
      </c>
      <c r="J825" t="s">
        <v>998</v>
      </c>
    </row>
    <row r="826" spans="1:10" x14ac:dyDescent="0.35">
      <c r="A826">
        <v>58380</v>
      </c>
      <c r="B826" t="s">
        <v>149</v>
      </c>
      <c r="C826" t="s">
        <v>1828</v>
      </c>
      <c r="D826" t="s">
        <v>1552</v>
      </c>
      <c r="E826" t="s">
        <v>152</v>
      </c>
      <c r="G826">
        <v>0</v>
      </c>
      <c r="H826">
        <v>0.5</v>
      </c>
      <c r="I826" t="s">
        <v>1829</v>
      </c>
      <c r="J826" t="s">
        <v>998</v>
      </c>
    </row>
    <row r="827" spans="1:10" x14ac:dyDescent="0.35">
      <c r="A827">
        <v>58381</v>
      </c>
      <c r="B827" t="s">
        <v>149</v>
      </c>
      <c r="C827" t="s">
        <v>1830</v>
      </c>
      <c r="D827" t="s">
        <v>1552</v>
      </c>
      <c r="E827" t="s">
        <v>152</v>
      </c>
      <c r="G827">
        <v>0</v>
      </c>
      <c r="H827">
        <v>0.5</v>
      </c>
      <c r="I827" t="s">
        <v>1831</v>
      </c>
      <c r="J827" t="s">
        <v>998</v>
      </c>
    </row>
    <row r="828" spans="1:10" x14ac:dyDescent="0.35">
      <c r="A828">
        <v>58382</v>
      </c>
      <c r="B828" t="s">
        <v>149</v>
      </c>
      <c r="C828" t="s">
        <v>1832</v>
      </c>
      <c r="D828" t="s">
        <v>1552</v>
      </c>
      <c r="E828" t="s">
        <v>152</v>
      </c>
      <c r="G828">
        <v>0</v>
      </c>
      <c r="H828">
        <v>0.5</v>
      </c>
      <c r="I828" t="s">
        <v>1833</v>
      </c>
      <c r="J828" t="s">
        <v>998</v>
      </c>
    </row>
    <row r="829" spans="1:10" x14ac:dyDescent="0.35">
      <c r="A829">
        <v>58383</v>
      </c>
      <c r="B829" t="s">
        <v>149</v>
      </c>
      <c r="C829" t="s">
        <v>1834</v>
      </c>
      <c r="D829" t="s">
        <v>1552</v>
      </c>
      <c r="E829" t="s">
        <v>152</v>
      </c>
      <c r="G829">
        <v>0</v>
      </c>
      <c r="H829">
        <v>0.5</v>
      </c>
      <c r="I829" t="s">
        <v>1835</v>
      </c>
      <c r="J829" t="s">
        <v>998</v>
      </c>
    </row>
    <row r="830" spans="1:10" x14ac:dyDescent="0.35">
      <c r="A830">
        <v>58384</v>
      </c>
      <c r="B830" t="s">
        <v>149</v>
      </c>
      <c r="C830" t="s">
        <v>1836</v>
      </c>
      <c r="D830" t="s">
        <v>1552</v>
      </c>
      <c r="E830" t="s">
        <v>152</v>
      </c>
      <c r="G830">
        <v>0</v>
      </c>
      <c r="H830">
        <v>0.5</v>
      </c>
      <c r="I830" t="s">
        <v>1837</v>
      </c>
      <c r="J830" t="s">
        <v>998</v>
      </c>
    </row>
    <row r="831" spans="1:10" x14ac:dyDescent="0.35">
      <c r="A831">
        <v>58385</v>
      </c>
      <c r="B831" t="s">
        <v>149</v>
      </c>
      <c r="C831" t="s">
        <v>1838</v>
      </c>
      <c r="D831" t="s">
        <v>1552</v>
      </c>
      <c r="E831" t="s">
        <v>152</v>
      </c>
      <c r="G831">
        <v>0</v>
      </c>
      <c r="H831">
        <v>0.5</v>
      </c>
      <c r="I831" t="s">
        <v>1839</v>
      </c>
      <c r="J831" t="s">
        <v>998</v>
      </c>
    </row>
    <row r="832" spans="1:10" x14ac:dyDescent="0.35">
      <c r="A832">
        <v>58386</v>
      </c>
      <c r="B832" t="s">
        <v>149</v>
      </c>
      <c r="C832" t="s">
        <v>1840</v>
      </c>
      <c r="D832" t="s">
        <v>1552</v>
      </c>
      <c r="E832" t="s">
        <v>152</v>
      </c>
      <c r="G832">
        <v>0</v>
      </c>
      <c r="H832">
        <v>0.5</v>
      </c>
      <c r="I832" t="s">
        <v>1841</v>
      </c>
      <c r="J832" t="s">
        <v>998</v>
      </c>
    </row>
    <row r="833" spans="1:10" x14ac:dyDescent="0.35">
      <c r="A833">
        <v>58387</v>
      </c>
      <c r="B833" t="s">
        <v>149</v>
      </c>
      <c r="C833" t="s">
        <v>1842</v>
      </c>
      <c r="D833" t="s">
        <v>1552</v>
      </c>
      <c r="E833" t="s">
        <v>152</v>
      </c>
      <c r="G833">
        <v>0</v>
      </c>
      <c r="H833">
        <v>0.5</v>
      </c>
      <c r="I833" t="s">
        <v>1843</v>
      </c>
      <c r="J833" t="s">
        <v>998</v>
      </c>
    </row>
    <row r="834" spans="1:10" x14ac:dyDescent="0.35">
      <c r="A834">
        <v>58388</v>
      </c>
      <c r="B834" t="s">
        <v>149</v>
      </c>
      <c r="C834" t="s">
        <v>1844</v>
      </c>
      <c r="D834" t="s">
        <v>1552</v>
      </c>
      <c r="E834" t="s">
        <v>152</v>
      </c>
      <c r="G834">
        <v>0</v>
      </c>
      <c r="H834">
        <v>0.5</v>
      </c>
      <c r="I834" t="s">
        <v>1845</v>
      </c>
      <c r="J834" t="s">
        <v>998</v>
      </c>
    </row>
    <row r="835" spans="1:10" x14ac:dyDescent="0.35">
      <c r="A835">
        <v>58389</v>
      </c>
      <c r="B835" t="s">
        <v>149</v>
      </c>
      <c r="C835" t="s">
        <v>1846</v>
      </c>
      <c r="D835" t="s">
        <v>1552</v>
      </c>
      <c r="E835" t="s">
        <v>152</v>
      </c>
      <c r="G835">
        <v>0</v>
      </c>
      <c r="H835">
        <v>0.5</v>
      </c>
      <c r="I835" t="s">
        <v>1847</v>
      </c>
      <c r="J835" t="s">
        <v>998</v>
      </c>
    </row>
    <row r="836" spans="1:10" x14ac:dyDescent="0.35">
      <c r="A836">
        <v>58390</v>
      </c>
      <c r="B836" t="s">
        <v>149</v>
      </c>
      <c r="C836" t="s">
        <v>1848</v>
      </c>
      <c r="D836" t="s">
        <v>1552</v>
      </c>
      <c r="E836" t="s">
        <v>152</v>
      </c>
      <c r="G836">
        <v>0</v>
      </c>
      <c r="H836">
        <v>0.5</v>
      </c>
      <c r="I836" t="s">
        <v>1849</v>
      </c>
      <c r="J836" t="s">
        <v>998</v>
      </c>
    </row>
    <row r="837" spans="1:10" x14ac:dyDescent="0.35">
      <c r="A837">
        <v>58391</v>
      </c>
      <c r="B837" t="s">
        <v>149</v>
      </c>
      <c r="C837" t="s">
        <v>1850</v>
      </c>
      <c r="D837" t="s">
        <v>1552</v>
      </c>
      <c r="E837" t="s">
        <v>152</v>
      </c>
      <c r="G837">
        <v>0</v>
      </c>
      <c r="H837">
        <v>0.5</v>
      </c>
      <c r="I837" t="s">
        <v>1851</v>
      </c>
      <c r="J837" t="s">
        <v>998</v>
      </c>
    </row>
    <row r="838" spans="1:10" x14ac:dyDescent="0.35">
      <c r="A838">
        <v>58392</v>
      </c>
      <c r="B838" t="s">
        <v>149</v>
      </c>
      <c r="C838" t="s">
        <v>1852</v>
      </c>
      <c r="D838" t="s">
        <v>1552</v>
      </c>
      <c r="E838" t="s">
        <v>152</v>
      </c>
      <c r="G838">
        <v>0</v>
      </c>
      <c r="H838">
        <v>0.5</v>
      </c>
      <c r="I838" t="s">
        <v>1853</v>
      </c>
      <c r="J838" t="s">
        <v>998</v>
      </c>
    </row>
    <row r="839" spans="1:10" x14ac:dyDescent="0.35">
      <c r="A839">
        <v>58393</v>
      </c>
      <c r="B839" t="s">
        <v>149</v>
      </c>
      <c r="C839" t="s">
        <v>1854</v>
      </c>
      <c r="D839" t="s">
        <v>1552</v>
      </c>
      <c r="E839" t="s">
        <v>152</v>
      </c>
      <c r="G839">
        <v>0</v>
      </c>
      <c r="H839">
        <v>0.5</v>
      </c>
      <c r="I839" t="s">
        <v>1855</v>
      </c>
      <c r="J839" t="s">
        <v>998</v>
      </c>
    </row>
    <row r="840" spans="1:10" x14ac:dyDescent="0.35">
      <c r="A840">
        <v>58394</v>
      </c>
      <c r="B840" t="s">
        <v>149</v>
      </c>
      <c r="C840" t="s">
        <v>1856</v>
      </c>
      <c r="D840" t="s">
        <v>1552</v>
      </c>
      <c r="E840" t="s">
        <v>152</v>
      </c>
      <c r="G840">
        <v>0</v>
      </c>
      <c r="H840">
        <v>0.5</v>
      </c>
      <c r="I840" t="s">
        <v>1857</v>
      </c>
      <c r="J840" t="s">
        <v>998</v>
      </c>
    </row>
    <row r="841" spans="1:10" x14ac:dyDescent="0.35">
      <c r="A841">
        <v>58395</v>
      </c>
      <c r="B841" t="s">
        <v>149</v>
      </c>
      <c r="C841" t="s">
        <v>1858</v>
      </c>
      <c r="D841" t="s">
        <v>1552</v>
      </c>
      <c r="E841" t="s">
        <v>152</v>
      </c>
      <c r="G841">
        <v>0</v>
      </c>
      <c r="H841">
        <v>0.5</v>
      </c>
      <c r="I841" t="s">
        <v>1859</v>
      </c>
      <c r="J841" t="s">
        <v>998</v>
      </c>
    </row>
    <row r="842" spans="1:10" x14ac:dyDescent="0.35">
      <c r="A842">
        <v>58396</v>
      </c>
      <c r="B842" t="s">
        <v>149</v>
      </c>
      <c r="C842" t="s">
        <v>1860</v>
      </c>
      <c r="D842" t="s">
        <v>1552</v>
      </c>
      <c r="E842" t="s">
        <v>152</v>
      </c>
      <c r="G842">
        <v>0</v>
      </c>
      <c r="H842">
        <v>0.5</v>
      </c>
      <c r="I842" t="s">
        <v>1861</v>
      </c>
      <c r="J842" t="s">
        <v>998</v>
      </c>
    </row>
    <row r="843" spans="1:10" x14ac:dyDescent="0.35">
      <c r="A843">
        <v>58397</v>
      </c>
      <c r="B843" t="s">
        <v>149</v>
      </c>
      <c r="C843" t="s">
        <v>1862</v>
      </c>
      <c r="D843" t="s">
        <v>1552</v>
      </c>
      <c r="E843" t="s">
        <v>152</v>
      </c>
      <c r="G843">
        <v>0</v>
      </c>
      <c r="H843">
        <v>0.5</v>
      </c>
      <c r="I843" t="s">
        <v>1863</v>
      </c>
      <c r="J843" t="s">
        <v>998</v>
      </c>
    </row>
    <row r="844" spans="1:10" x14ac:dyDescent="0.35">
      <c r="A844">
        <v>58398</v>
      </c>
      <c r="B844" t="s">
        <v>149</v>
      </c>
      <c r="C844" t="s">
        <v>1864</v>
      </c>
      <c r="D844" t="s">
        <v>1552</v>
      </c>
      <c r="E844" t="s">
        <v>152</v>
      </c>
      <c r="G844">
        <v>0</v>
      </c>
      <c r="H844">
        <v>0.5</v>
      </c>
      <c r="I844" t="s">
        <v>1865</v>
      </c>
      <c r="J844" t="s">
        <v>998</v>
      </c>
    </row>
    <row r="845" spans="1:10" x14ac:dyDescent="0.35">
      <c r="A845">
        <v>58399</v>
      </c>
      <c r="B845" t="s">
        <v>149</v>
      </c>
      <c r="C845" t="s">
        <v>1866</v>
      </c>
      <c r="D845" t="s">
        <v>1552</v>
      </c>
      <c r="E845" t="s">
        <v>152</v>
      </c>
      <c r="G845">
        <v>0</v>
      </c>
      <c r="H845">
        <v>1</v>
      </c>
      <c r="I845" t="s">
        <v>1867</v>
      </c>
      <c r="J845" t="s">
        <v>172</v>
      </c>
    </row>
    <row r="846" spans="1:10" x14ac:dyDescent="0.35">
      <c r="A846">
        <v>58400</v>
      </c>
      <c r="B846" t="s">
        <v>149</v>
      </c>
      <c r="C846" t="s">
        <v>1868</v>
      </c>
      <c r="D846" t="s">
        <v>1552</v>
      </c>
      <c r="E846" t="s">
        <v>152</v>
      </c>
      <c r="G846">
        <v>0</v>
      </c>
      <c r="H846">
        <v>0.5</v>
      </c>
      <c r="I846" t="s">
        <v>1869</v>
      </c>
      <c r="J846" t="s">
        <v>172</v>
      </c>
    </row>
    <row r="847" spans="1:10" x14ac:dyDescent="0.35">
      <c r="A847">
        <v>58401</v>
      </c>
      <c r="B847" t="s">
        <v>149</v>
      </c>
      <c r="C847" t="s">
        <v>1870</v>
      </c>
      <c r="D847" t="s">
        <v>1552</v>
      </c>
      <c r="E847" t="s">
        <v>152</v>
      </c>
      <c r="G847">
        <v>0</v>
      </c>
      <c r="H847">
        <v>0.5</v>
      </c>
      <c r="I847" t="s">
        <v>1871</v>
      </c>
      <c r="J847" t="s">
        <v>172</v>
      </c>
    </row>
    <row r="848" spans="1:10" x14ac:dyDescent="0.35">
      <c r="A848">
        <v>58402</v>
      </c>
      <c r="B848" t="s">
        <v>149</v>
      </c>
      <c r="C848" t="s">
        <v>1872</v>
      </c>
      <c r="D848" t="s">
        <v>1552</v>
      </c>
      <c r="E848" t="s">
        <v>152</v>
      </c>
      <c r="G848">
        <v>0</v>
      </c>
      <c r="H848">
        <v>0.5</v>
      </c>
      <c r="I848" t="s">
        <v>1873</v>
      </c>
      <c r="J848" t="s">
        <v>172</v>
      </c>
    </row>
    <row r="849" spans="1:10" x14ac:dyDescent="0.35">
      <c r="A849">
        <v>58403</v>
      </c>
      <c r="B849" t="s">
        <v>149</v>
      </c>
      <c r="C849" t="s">
        <v>1874</v>
      </c>
      <c r="D849" t="s">
        <v>1552</v>
      </c>
      <c r="E849" t="s">
        <v>152</v>
      </c>
      <c r="G849">
        <v>0</v>
      </c>
      <c r="H849">
        <v>0.5</v>
      </c>
      <c r="I849" t="s">
        <v>1875</v>
      </c>
      <c r="J849" t="s">
        <v>172</v>
      </c>
    </row>
    <row r="850" spans="1:10" x14ac:dyDescent="0.35">
      <c r="A850">
        <v>58404</v>
      </c>
      <c r="B850" t="s">
        <v>149</v>
      </c>
      <c r="C850" t="s">
        <v>1876</v>
      </c>
      <c r="D850" t="s">
        <v>1552</v>
      </c>
      <c r="E850" t="s">
        <v>152</v>
      </c>
      <c r="G850">
        <v>0</v>
      </c>
      <c r="H850">
        <v>0.5</v>
      </c>
      <c r="I850" t="s">
        <v>1877</v>
      </c>
      <c r="J850" t="s">
        <v>172</v>
      </c>
    </row>
    <row r="851" spans="1:10" x14ac:dyDescent="0.35">
      <c r="A851">
        <v>58405</v>
      </c>
      <c r="B851" t="s">
        <v>149</v>
      </c>
      <c r="C851" t="s">
        <v>1878</v>
      </c>
      <c r="D851" t="s">
        <v>1552</v>
      </c>
      <c r="E851" t="s">
        <v>152</v>
      </c>
      <c r="G851">
        <v>0</v>
      </c>
      <c r="H851">
        <v>0.5</v>
      </c>
      <c r="I851" t="s">
        <v>1879</v>
      </c>
      <c r="J851" t="s">
        <v>172</v>
      </c>
    </row>
    <row r="852" spans="1:10" x14ac:dyDescent="0.35">
      <c r="A852">
        <v>58406</v>
      </c>
      <c r="B852" t="s">
        <v>149</v>
      </c>
      <c r="C852" t="s">
        <v>1880</v>
      </c>
      <c r="D852" t="s">
        <v>1552</v>
      </c>
      <c r="E852" t="s">
        <v>152</v>
      </c>
      <c r="G852">
        <v>0</v>
      </c>
      <c r="H852">
        <v>0.5</v>
      </c>
      <c r="I852" t="s">
        <v>1881</v>
      </c>
      <c r="J852" t="s">
        <v>172</v>
      </c>
    </row>
    <row r="853" spans="1:10" x14ac:dyDescent="0.35">
      <c r="A853">
        <v>58407</v>
      </c>
      <c r="B853" t="s">
        <v>149</v>
      </c>
      <c r="C853" t="s">
        <v>1882</v>
      </c>
      <c r="D853" t="s">
        <v>1552</v>
      </c>
      <c r="E853" t="s">
        <v>152</v>
      </c>
      <c r="G853">
        <v>0</v>
      </c>
      <c r="H853">
        <v>0.5</v>
      </c>
      <c r="I853" t="s">
        <v>1883</v>
      </c>
      <c r="J853" t="s">
        <v>172</v>
      </c>
    </row>
    <row r="854" spans="1:10" x14ac:dyDescent="0.35">
      <c r="A854">
        <v>58408</v>
      </c>
      <c r="B854" t="s">
        <v>149</v>
      </c>
      <c r="C854" t="s">
        <v>1884</v>
      </c>
      <c r="D854" t="s">
        <v>1552</v>
      </c>
      <c r="E854" t="s">
        <v>152</v>
      </c>
      <c r="G854">
        <v>0</v>
      </c>
      <c r="H854">
        <v>0.5</v>
      </c>
      <c r="I854" t="s">
        <v>1885</v>
      </c>
      <c r="J854" t="s">
        <v>172</v>
      </c>
    </row>
    <row r="855" spans="1:10" x14ac:dyDescent="0.35">
      <c r="A855">
        <v>58409</v>
      </c>
      <c r="B855" t="s">
        <v>149</v>
      </c>
      <c r="C855" t="s">
        <v>1886</v>
      </c>
      <c r="D855" t="s">
        <v>1552</v>
      </c>
      <c r="E855" t="s">
        <v>152</v>
      </c>
      <c r="G855">
        <v>0</v>
      </c>
      <c r="H855">
        <v>0.5</v>
      </c>
      <c r="I855" t="s">
        <v>1887</v>
      </c>
      <c r="J855" t="s">
        <v>172</v>
      </c>
    </row>
    <row r="856" spans="1:10" x14ac:dyDescent="0.35">
      <c r="A856">
        <v>58410</v>
      </c>
      <c r="B856" t="s">
        <v>149</v>
      </c>
      <c r="C856" t="s">
        <v>1888</v>
      </c>
      <c r="D856" t="s">
        <v>1552</v>
      </c>
      <c r="E856" t="s">
        <v>152</v>
      </c>
      <c r="G856">
        <v>0</v>
      </c>
      <c r="H856">
        <v>0.5</v>
      </c>
      <c r="I856" t="s">
        <v>1889</v>
      </c>
      <c r="J856" t="s">
        <v>172</v>
      </c>
    </row>
    <row r="857" spans="1:10" x14ac:dyDescent="0.35">
      <c r="A857">
        <v>58411</v>
      </c>
      <c r="B857" t="s">
        <v>149</v>
      </c>
      <c r="C857" t="s">
        <v>1890</v>
      </c>
      <c r="D857" t="s">
        <v>1552</v>
      </c>
      <c r="E857" t="s">
        <v>152</v>
      </c>
      <c r="G857">
        <v>0</v>
      </c>
      <c r="H857">
        <v>0.5</v>
      </c>
      <c r="I857" t="s">
        <v>1891</v>
      </c>
      <c r="J857" t="s">
        <v>172</v>
      </c>
    </row>
    <row r="858" spans="1:10" x14ac:dyDescent="0.35">
      <c r="A858">
        <v>58412</v>
      </c>
      <c r="B858" t="s">
        <v>149</v>
      </c>
      <c r="C858" t="s">
        <v>1892</v>
      </c>
      <c r="D858" t="s">
        <v>1552</v>
      </c>
      <c r="E858" t="s">
        <v>152</v>
      </c>
      <c r="G858">
        <v>0</v>
      </c>
      <c r="H858">
        <v>0.5</v>
      </c>
      <c r="I858" t="s">
        <v>1893</v>
      </c>
      <c r="J858" t="s">
        <v>172</v>
      </c>
    </row>
    <row r="859" spans="1:10" x14ac:dyDescent="0.35">
      <c r="A859">
        <v>58413</v>
      </c>
      <c r="B859" t="s">
        <v>149</v>
      </c>
      <c r="C859" t="s">
        <v>1894</v>
      </c>
      <c r="D859" t="s">
        <v>1552</v>
      </c>
      <c r="E859" t="s">
        <v>152</v>
      </c>
      <c r="G859">
        <v>0</v>
      </c>
      <c r="H859">
        <v>1</v>
      </c>
      <c r="I859" t="s">
        <v>1895</v>
      </c>
      <c r="J859" t="s">
        <v>172</v>
      </c>
    </row>
    <row r="860" spans="1:10" x14ac:dyDescent="0.35">
      <c r="A860">
        <v>58414</v>
      </c>
      <c r="B860" t="s">
        <v>149</v>
      </c>
      <c r="C860" t="s">
        <v>1896</v>
      </c>
      <c r="D860" t="s">
        <v>1552</v>
      </c>
      <c r="E860" t="s">
        <v>152</v>
      </c>
      <c r="G860">
        <v>0</v>
      </c>
      <c r="H860">
        <v>0.5</v>
      </c>
      <c r="I860" t="s">
        <v>1897</v>
      </c>
      <c r="J860" t="s">
        <v>172</v>
      </c>
    </row>
    <row r="861" spans="1:10" x14ac:dyDescent="0.35">
      <c r="A861">
        <v>58415</v>
      </c>
      <c r="B861" t="s">
        <v>149</v>
      </c>
      <c r="C861" t="s">
        <v>1898</v>
      </c>
      <c r="D861" t="s">
        <v>1552</v>
      </c>
      <c r="E861" t="s">
        <v>152</v>
      </c>
      <c r="G861">
        <v>0</v>
      </c>
      <c r="H861">
        <v>0.5</v>
      </c>
      <c r="I861" t="s">
        <v>1899</v>
      </c>
      <c r="J861" t="s">
        <v>172</v>
      </c>
    </row>
    <row r="862" spans="1:10" x14ac:dyDescent="0.35">
      <c r="A862">
        <v>58416</v>
      </c>
      <c r="B862" t="s">
        <v>149</v>
      </c>
      <c r="C862" t="s">
        <v>1900</v>
      </c>
      <c r="D862" t="s">
        <v>1552</v>
      </c>
      <c r="E862" t="s">
        <v>152</v>
      </c>
      <c r="G862">
        <v>0</v>
      </c>
      <c r="H862">
        <v>0.5</v>
      </c>
      <c r="I862" t="s">
        <v>1901</v>
      </c>
      <c r="J862" t="s">
        <v>172</v>
      </c>
    </row>
    <row r="863" spans="1:10" x14ac:dyDescent="0.35">
      <c r="A863">
        <v>58417</v>
      </c>
      <c r="B863" t="s">
        <v>149</v>
      </c>
      <c r="C863" t="s">
        <v>1902</v>
      </c>
      <c r="D863" t="s">
        <v>1552</v>
      </c>
      <c r="E863" t="s">
        <v>152</v>
      </c>
      <c r="G863">
        <v>0</v>
      </c>
      <c r="H863">
        <v>0.5</v>
      </c>
      <c r="I863" t="s">
        <v>1903</v>
      </c>
      <c r="J863" t="s">
        <v>172</v>
      </c>
    </row>
    <row r="864" spans="1:10" x14ac:dyDescent="0.35">
      <c r="A864">
        <v>58418</v>
      </c>
      <c r="B864" t="s">
        <v>149</v>
      </c>
      <c r="C864" t="s">
        <v>1904</v>
      </c>
      <c r="D864" t="s">
        <v>1552</v>
      </c>
      <c r="E864" t="s">
        <v>152</v>
      </c>
      <c r="G864">
        <v>0</v>
      </c>
      <c r="H864">
        <v>1</v>
      </c>
      <c r="I864" t="s">
        <v>1905</v>
      </c>
      <c r="J864" t="s">
        <v>995</v>
      </c>
    </row>
    <row r="865" spans="1:10" x14ac:dyDescent="0.35">
      <c r="A865">
        <v>58419</v>
      </c>
      <c r="B865" t="s">
        <v>149</v>
      </c>
      <c r="C865" t="s">
        <v>1906</v>
      </c>
      <c r="D865" t="s">
        <v>1552</v>
      </c>
      <c r="E865" t="s">
        <v>152</v>
      </c>
      <c r="G865">
        <v>0</v>
      </c>
      <c r="H865">
        <v>0.5</v>
      </c>
      <c r="I865" t="s">
        <v>1907</v>
      </c>
      <c r="J865" t="s">
        <v>172</v>
      </c>
    </row>
    <row r="866" spans="1:10" x14ac:dyDescent="0.35">
      <c r="A866">
        <v>58420</v>
      </c>
      <c r="B866" t="s">
        <v>149</v>
      </c>
      <c r="C866" t="s">
        <v>1908</v>
      </c>
      <c r="D866" t="s">
        <v>1552</v>
      </c>
      <c r="E866" t="s">
        <v>152</v>
      </c>
      <c r="G866">
        <v>0</v>
      </c>
      <c r="H866">
        <v>0.5</v>
      </c>
      <c r="I866" t="s">
        <v>1909</v>
      </c>
      <c r="J866" t="s">
        <v>995</v>
      </c>
    </row>
    <row r="867" spans="1:10" x14ac:dyDescent="0.35">
      <c r="A867">
        <v>58421</v>
      </c>
      <c r="B867" t="s">
        <v>149</v>
      </c>
      <c r="C867" t="s">
        <v>1910</v>
      </c>
      <c r="D867" t="s">
        <v>1552</v>
      </c>
      <c r="E867" t="s">
        <v>152</v>
      </c>
      <c r="G867">
        <v>0</v>
      </c>
      <c r="H867">
        <v>0.5</v>
      </c>
      <c r="I867" t="s">
        <v>1911</v>
      </c>
      <c r="J867" t="s">
        <v>172</v>
      </c>
    </row>
    <row r="868" spans="1:10" x14ac:dyDescent="0.35">
      <c r="A868">
        <v>58422</v>
      </c>
      <c r="B868" t="s">
        <v>149</v>
      </c>
      <c r="C868" t="s">
        <v>1912</v>
      </c>
      <c r="D868" t="s">
        <v>1552</v>
      </c>
      <c r="E868" t="s">
        <v>152</v>
      </c>
      <c r="G868">
        <v>0</v>
      </c>
      <c r="H868">
        <v>0.5</v>
      </c>
      <c r="I868" t="s">
        <v>1913</v>
      </c>
      <c r="J868" t="s">
        <v>172</v>
      </c>
    </row>
    <row r="869" spans="1:10" x14ac:dyDescent="0.35">
      <c r="A869">
        <v>58423</v>
      </c>
      <c r="B869" t="s">
        <v>149</v>
      </c>
      <c r="C869" t="s">
        <v>1914</v>
      </c>
      <c r="D869" t="s">
        <v>1552</v>
      </c>
      <c r="E869" t="s">
        <v>152</v>
      </c>
      <c r="G869">
        <v>0</v>
      </c>
      <c r="H869">
        <v>0.5</v>
      </c>
      <c r="I869" t="s">
        <v>1915</v>
      </c>
      <c r="J869" t="s">
        <v>172</v>
      </c>
    </row>
    <row r="870" spans="1:10" x14ac:dyDescent="0.35">
      <c r="A870">
        <v>58424</v>
      </c>
      <c r="B870" t="s">
        <v>149</v>
      </c>
      <c r="C870" t="s">
        <v>1916</v>
      </c>
      <c r="D870" t="s">
        <v>1552</v>
      </c>
      <c r="E870" t="s">
        <v>152</v>
      </c>
      <c r="G870">
        <v>0</v>
      </c>
      <c r="H870">
        <v>0.5</v>
      </c>
      <c r="I870" t="s">
        <v>1917</v>
      </c>
      <c r="J870" t="s">
        <v>995</v>
      </c>
    </row>
    <row r="871" spans="1:10" x14ac:dyDescent="0.35">
      <c r="A871">
        <v>58425</v>
      </c>
      <c r="B871" t="s">
        <v>149</v>
      </c>
      <c r="C871" t="s">
        <v>1918</v>
      </c>
      <c r="D871" t="s">
        <v>1552</v>
      </c>
      <c r="E871" t="s">
        <v>152</v>
      </c>
      <c r="G871">
        <v>0</v>
      </c>
      <c r="H871">
        <v>0.5</v>
      </c>
      <c r="I871" t="s">
        <v>1919</v>
      </c>
      <c r="J871" t="s">
        <v>172</v>
      </c>
    </row>
    <row r="872" spans="1:10" x14ac:dyDescent="0.35">
      <c r="A872">
        <v>58426</v>
      </c>
      <c r="B872" t="s">
        <v>149</v>
      </c>
      <c r="C872" t="s">
        <v>1920</v>
      </c>
      <c r="D872" t="s">
        <v>1552</v>
      </c>
      <c r="E872" t="s">
        <v>152</v>
      </c>
      <c r="G872">
        <v>0</v>
      </c>
      <c r="H872">
        <v>0.5</v>
      </c>
      <c r="I872" t="s">
        <v>1921</v>
      </c>
      <c r="J872" t="s">
        <v>172</v>
      </c>
    </row>
    <row r="873" spans="1:10" x14ac:dyDescent="0.35">
      <c r="A873">
        <v>58427</v>
      </c>
      <c r="B873" t="s">
        <v>149</v>
      </c>
      <c r="C873" t="s">
        <v>1922</v>
      </c>
      <c r="D873" t="s">
        <v>1552</v>
      </c>
      <c r="E873" t="s">
        <v>152</v>
      </c>
      <c r="G873">
        <v>0</v>
      </c>
      <c r="H873">
        <v>0.5</v>
      </c>
      <c r="I873" t="s">
        <v>1923</v>
      </c>
      <c r="J873" t="s">
        <v>172</v>
      </c>
    </row>
    <row r="874" spans="1:10" x14ac:dyDescent="0.35">
      <c r="A874">
        <v>58428</v>
      </c>
      <c r="B874" t="s">
        <v>149</v>
      </c>
      <c r="C874" t="s">
        <v>1924</v>
      </c>
      <c r="D874" t="s">
        <v>1552</v>
      </c>
      <c r="E874" t="s">
        <v>152</v>
      </c>
      <c r="G874">
        <v>0</v>
      </c>
      <c r="H874">
        <v>0.5</v>
      </c>
      <c r="I874" t="s">
        <v>1925</v>
      </c>
      <c r="J874" t="s">
        <v>172</v>
      </c>
    </row>
    <row r="875" spans="1:10" x14ac:dyDescent="0.35">
      <c r="A875">
        <v>58429</v>
      </c>
      <c r="B875" t="s">
        <v>149</v>
      </c>
      <c r="C875" t="s">
        <v>1926</v>
      </c>
      <c r="D875" t="s">
        <v>1552</v>
      </c>
      <c r="E875" t="s">
        <v>152</v>
      </c>
      <c r="G875">
        <v>0</v>
      </c>
      <c r="H875">
        <v>0.5</v>
      </c>
      <c r="I875" t="s">
        <v>1927</v>
      </c>
      <c r="J875" t="s">
        <v>172</v>
      </c>
    </row>
    <row r="876" spans="1:10" x14ac:dyDescent="0.35">
      <c r="A876">
        <v>58430</v>
      </c>
      <c r="B876" t="s">
        <v>149</v>
      </c>
      <c r="C876" t="s">
        <v>1928</v>
      </c>
      <c r="D876" t="s">
        <v>1552</v>
      </c>
      <c r="E876" t="s">
        <v>152</v>
      </c>
      <c r="G876">
        <v>0</v>
      </c>
      <c r="H876">
        <v>0.5</v>
      </c>
      <c r="I876" t="s">
        <v>1929</v>
      </c>
      <c r="J876" t="s">
        <v>172</v>
      </c>
    </row>
    <row r="877" spans="1:10" x14ac:dyDescent="0.35">
      <c r="A877">
        <v>58431</v>
      </c>
      <c r="B877" t="s">
        <v>149</v>
      </c>
      <c r="C877" t="s">
        <v>1930</v>
      </c>
      <c r="D877" t="s">
        <v>1552</v>
      </c>
      <c r="E877" t="s">
        <v>152</v>
      </c>
      <c r="G877">
        <v>0</v>
      </c>
      <c r="H877">
        <v>0.5</v>
      </c>
      <c r="I877" t="s">
        <v>1931</v>
      </c>
      <c r="J877" t="s">
        <v>172</v>
      </c>
    </row>
    <row r="878" spans="1:10" x14ac:dyDescent="0.35">
      <c r="A878">
        <v>58432</v>
      </c>
      <c r="B878" t="s">
        <v>149</v>
      </c>
      <c r="C878" t="s">
        <v>1932</v>
      </c>
      <c r="D878" t="s">
        <v>1552</v>
      </c>
      <c r="E878" t="s">
        <v>152</v>
      </c>
      <c r="G878">
        <v>0</v>
      </c>
      <c r="H878">
        <v>0.5</v>
      </c>
      <c r="I878" t="s">
        <v>1933</v>
      </c>
      <c r="J878" t="s">
        <v>995</v>
      </c>
    </row>
    <row r="879" spans="1:10" x14ac:dyDescent="0.35">
      <c r="A879">
        <v>58433</v>
      </c>
      <c r="B879" t="s">
        <v>149</v>
      </c>
      <c r="C879" t="s">
        <v>1934</v>
      </c>
      <c r="D879" t="s">
        <v>1552</v>
      </c>
      <c r="E879" t="s">
        <v>152</v>
      </c>
      <c r="G879">
        <v>0</v>
      </c>
      <c r="H879">
        <v>0.5</v>
      </c>
      <c r="I879" t="s">
        <v>1935</v>
      </c>
      <c r="J879" t="s">
        <v>172</v>
      </c>
    </row>
    <row r="880" spans="1:10" x14ac:dyDescent="0.35">
      <c r="A880">
        <v>58434</v>
      </c>
      <c r="B880" t="s">
        <v>149</v>
      </c>
      <c r="C880" t="s">
        <v>1936</v>
      </c>
      <c r="D880" t="s">
        <v>1552</v>
      </c>
      <c r="E880" t="s">
        <v>152</v>
      </c>
      <c r="G880">
        <v>0</v>
      </c>
      <c r="H880">
        <v>0.5</v>
      </c>
      <c r="I880" t="s">
        <v>1937</v>
      </c>
      <c r="J880" t="s">
        <v>172</v>
      </c>
    </row>
    <row r="881" spans="1:10" x14ac:dyDescent="0.35">
      <c r="A881">
        <v>58435</v>
      </c>
      <c r="B881" t="s">
        <v>149</v>
      </c>
      <c r="C881" t="s">
        <v>1938</v>
      </c>
      <c r="D881" t="s">
        <v>1552</v>
      </c>
      <c r="E881" t="s">
        <v>152</v>
      </c>
      <c r="G881">
        <v>0</v>
      </c>
      <c r="H881">
        <v>0.5</v>
      </c>
      <c r="I881" t="s">
        <v>1939</v>
      </c>
      <c r="J881" t="s">
        <v>172</v>
      </c>
    </row>
    <row r="882" spans="1:10" x14ac:dyDescent="0.35">
      <c r="A882">
        <v>58436</v>
      </c>
      <c r="B882" t="s">
        <v>149</v>
      </c>
      <c r="C882" t="s">
        <v>1940</v>
      </c>
      <c r="D882" t="s">
        <v>1552</v>
      </c>
      <c r="E882" t="s">
        <v>152</v>
      </c>
      <c r="G882">
        <v>0</v>
      </c>
      <c r="H882">
        <v>1</v>
      </c>
      <c r="I882" t="s">
        <v>1941</v>
      </c>
      <c r="J882" t="s">
        <v>172</v>
      </c>
    </row>
    <row r="883" spans="1:10" x14ac:dyDescent="0.35">
      <c r="A883">
        <v>58437</v>
      </c>
      <c r="B883" t="s">
        <v>149</v>
      </c>
      <c r="C883" t="s">
        <v>1942</v>
      </c>
      <c r="D883" t="s">
        <v>1552</v>
      </c>
      <c r="E883" t="s">
        <v>152</v>
      </c>
      <c r="G883">
        <v>0</v>
      </c>
      <c r="H883">
        <v>0.5</v>
      </c>
      <c r="I883" t="s">
        <v>1943</v>
      </c>
      <c r="J883" t="s">
        <v>172</v>
      </c>
    </row>
    <row r="884" spans="1:10" x14ac:dyDescent="0.35">
      <c r="A884">
        <v>58438</v>
      </c>
      <c r="B884" t="s">
        <v>149</v>
      </c>
      <c r="C884" t="s">
        <v>1944</v>
      </c>
      <c r="D884" t="s">
        <v>1552</v>
      </c>
      <c r="E884" t="s">
        <v>152</v>
      </c>
      <c r="G884">
        <v>0</v>
      </c>
      <c r="H884">
        <v>0.5</v>
      </c>
      <c r="I884" t="s">
        <v>1945</v>
      </c>
      <c r="J884" t="s">
        <v>172</v>
      </c>
    </row>
    <row r="885" spans="1:10" x14ac:dyDescent="0.35">
      <c r="A885">
        <v>58439</v>
      </c>
      <c r="B885" t="s">
        <v>149</v>
      </c>
      <c r="C885" t="s">
        <v>1946</v>
      </c>
      <c r="D885" t="s">
        <v>1552</v>
      </c>
      <c r="E885" t="s">
        <v>152</v>
      </c>
      <c r="G885">
        <v>0</v>
      </c>
      <c r="H885">
        <v>0.5</v>
      </c>
      <c r="I885" t="s">
        <v>1947</v>
      </c>
      <c r="J885" t="s">
        <v>172</v>
      </c>
    </row>
    <row r="886" spans="1:10" x14ac:dyDescent="0.35">
      <c r="A886">
        <v>58440</v>
      </c>
      <c r="B886" t="s">
        <v>149</v>
      </c>
      <c r="C886" t="s">
        <v>1948</v>
      </c>
      <c r="D886" t="s">
        <v>1552</v>
      </c>
      <c r="E886" t="s">
        <v>152</v>
      </c>
      <c r="G886">
        <v>0</v>
      </c>
      <c r="H886">
        <v>0.5</v>
      </c>
      <c r="I886" t="s">
        <v>1949</v>
      </c>
      <c r="J886" t="s">
        <v>172</v>
      </c>
    </row>
    <row r="887" spans="1:10" x14ac:dyDescent="0.35">
      <c r="A887">
        <v>58441</v>
      </c>
      <c r="B887" t="s">
        <v>149</v>
      </c>
      <c r="C887" t="s">
        <v>1950</v>
      </c>
      <c r="D887" t="s">
        <v>1552</v>
      </c>
      <c r="E887" t="s">
        <v>152</v>
      </c>
      <c r="G887">
        <v>0</v>
      </c>
      <c r="H887">
        <v>0.5</v>
      </c>
      <c r="I887" t="s">
        <v>1951</v>
      </c>
      <c r="J887" t="s">
        <v>172</v>
      </c>
    </row>
    <row r="888" spans="1:10" x14ac:dyDescent="0.35">
      <c r="A888">
        <v>58442</v>
      </c>
      <c r="B888" t="s">
        <v>149</v>
      </c>
      <c r="C888" t="s">
        <v>1952</v>
      </c>
      <c r="D888" t="s">
        <v>1552</v>
      </c>
      <c r="E888" t="s">
        <v>152</v>
      </c>
      <c r="G888">
        <v>0</v>
      </c>
      <c r="H888">
        <v>0.5</v>
      </c>
      <c r="I888" t="s">
        <v>1953</v>
      </c>
      <c r="J888" t="s">
        <v>172</v>
      </c>
    </row>
    <row r="889" spans="1:10" x14ac:dyDescent="0.35">
      <c r="A889">
        <v>58443</v>
      </c>
      <c r="B889" t="s">
        <v>149</v>
      </c>
      <c r="C889" t="s">
        <v>1954</v>
      </c>
      <c r="D889" t="s">
        <v>1552</v>
      </c>
      <c r="E889" t="s">
        <v>152</v>
      </c>
      <c r="G889">
        <v>0</v>
      </c>
      <c r="H889">
        <v>0.5</v>
      </c>
      <c r="I889" t="s">
        <v>1955</v>
      </c>
      <c r="J889" t="s">
        <v>172</v>
      </c>
    </row>
    <row r="890" spans="1:10" x14ac:dyDescent="0.35">
      <c r="A890">
        <v>58444</v>
      </c>
      <c r="B890" t="s">
        <v>149</v>
      </c>
      <c r="C890" t="s">
        <v>1956</v>
      </c>
      <c r="D890" t="s">
        <v>1552</v>
      </c>
      <c r="E890" t="s">
        <v>152</v>
      </c>
      <c r="G890">
        <v>0</v>
      </c>
      <c r="H890">
        <v>0.5</v>
      </c>
      <c r="I890" t="s">
        <v>1957</v>
      </c>
      <c r="J890" t="s">
        <v>172</v>
      </c>
    </row>
    <row r="891" spans="1:10" x14ac:dyDescent="0.35">
      <c r="A891">
        <v>58445</v>
      </c>
      <c r="B891" t="s">
        <v>149</v>
      </c>
      <c r="C891" t="s">
        <v>1958</v>
      </c>
      <c r="D891" t="s">
        <v>1552</v>
      </c>
      <c r="E891" t="s">
        <v>152</v>
      </c>
      <c r="G891">
        <v>0</v>
      </c>
      <c r="H891">
        <v>0.5</v>
      </c>
      <c r="I891" t="s">
        <v>1959</v>
      </c>
      <c r="J891" t="s">
        <v>172</v>
      </c>
    </row>
    <row r="892" spans="1:10" x14ac:dyDescent="0.35">
      <c r="A892">
        <v>58446</v>
      </c>
      <c r="B892" t="s">
        <v>149</v>
      </c>
      <c r="C892" t="s">
        <v>1960</v>
      </c>
      <c r="D892" t="s">
        <v>1552</v>
      </c>
      <c r="E892" t="s">
        <v>152</v>
      </c>
      <c r="G892">
        <v>0</v>
      </c>
      <c r="H892">
        <v>0.5</v>
      </c>
      <c r="I892" t="s">
        <v>1961</v>
      </c>
      <c r="J892" t="s">
        <v>995</v>
      </c>
    </row>
    <row r="893" spans="1:10" x14ac:dyDescent="0.35">
      <c r="A893">
        <v>58447</v>
      </c>
      <c r="B893" t="s">
        <v>149</v>
      </c>
      <c r="C893" t="s">
        <v>1962</v>
      </c>
      <c r="D893" t="s">
        <v>1552</v>
      </c>
      <c r="E893" t="s">
        <v>152</v>
      </c>
      <c r="G893">
        <v>0</v>
      </c>
      <c r="H893">
        <v>0.5</v>
      </c>
      <c r="I893" t="s">
        <v>1963</v>
      </c>
      <c r="J893" t="s">
        <v>172</v>
      </c>
    </row>
    <row r="894" spans="1:10" x14ac:dyDescent="0.35">
      <c r="A894">
        <v>58448</v>
      </c>
      <c r="B894" t="s">
        <v>149</v>
      </c>
      <c r="C894" t="s">
        <v>1964</v>
      </c>
      <c r="D894" t="s">
        <v>1552</v>
      </c>
      <c r="E894" t="s">
        <v>152</v>
      </c>
      <c r="G894">
        <v>0</v>
      </c>
      <c r="H894">
        <v>0.5</v>
      </c>
      <c r="I894" t="s">
        <v>1965</v>
      </c>
      <c r="J894" t="s">
        <v>172</v>
      </c>
    </row>
    <row r="895" spans="1:10" x14ac:dyDescent="0.35">
      <c r="A895">
        <v>58449</v>
      </c>
      <c r="B895" t="s">
        <v>149</v>
      </c>
      <c r="C895" t="s">
        <v>1966</v>
      </c>
      <c r="D895" t="s">
        <v>1552</v>
      </c>
      <c r="E895" t="s">
        <v>152</v>
      </c>
      <c r="G895">
        <v>0</v>
      </c>
      <c r="H895">
        <v>0.5</v>
      </c>
      <c r="I895" t="s">
        <v>1967</v>
      </c>
      <c r="J895" t="s">
        <v>172</v>
      </c>
    </row>
    <row r="896" spans="1:10" x14ac:dyDescent="0.35">
      <c r="A896">
        <v>58450</v>
      </c>
      <c r="B896" t="s">
        <v>149</v>
      </c>
      <c r="C896" t="s">
        <v>1968</v>
      </c>
      <c r="D896" t="s">
        <v>1552</v>
      </c>
      <c r="E896" t="s">
        <v>152</v>
      </c>
      <c r="G896">
        <v>0</v>
      </c>
      <c r="H896">
        <v>0.5</v>
      </c>
      <c r="I896" t="s">
        <v>1969</v>
      </c>
      <c r="J896" t="s">
        <v>172</v>
      </c>
    </row>
    <row r="897" spans="1:10" x14ac:dyDescent="0.35">
      <c r="A897">
        <v>58451</v>
      </c>
      <c r="B897" t="s">
        <v>149</v>
      </c>
      <c r="C897" t="s">
        <v>1970</v>
      </c>
      <c r="D897" t="s">
        <v>1552</v>
      </c>
      <c r="E897" t="s">
        <v>152</v>
      </c>
      <c r="G897">
        <v>0</v>
      </c>
      <c r="H897">
        <v>0.5</v>
      </c>
      <c r="I897" t="s">
        <v>1971</v>
      </c>
      <c r="J897" t="s">
        <v>172</v>
      </c>
    </row>
    <row r="898" spans="1:10" x14ac:dyDescent="0.35">
      <c r="A898">
        <v>58452</v>
      </c>
      <c r="B898" t="s">
        <v>149</v>
      </c>
      <c r="C898" t="s">
        <v>1575</v>
      </c>
      <c r="D898" t="s">
        <v>1552</v>
      </c>
      <c r="E898" t="s">
        <v>152</v>
      </c>
      <c r="G898">
        <v>0</v>
      </c>
      <c r="H898">
        <v>0.5</v>
      </c>
      <c r="I898" t="s">
        <v>1972</v>
      </c>
      <c r="J898" t="s">
        <v>172</v>
      </c>
    </row>
    <row r="899" spans="1:10" x14ac:dyDescent="0.35">
      <c r="A899">
        <v>58453</v>
      </c>
      <c r="B899" t="s">
        <v>149</v>
      </c>
      <c r="C899" t="s">
        <v>1973</v>
      </c>
      <c r="D899" t="s">
        <v>1552</v>
      </c>
      <c r="E899" t="s">
        <v>152</v>
      </c>
      <c r="G899">
        <v>0</v>
      </c>
      <c r="H899">
        <v>0.5</v>
      </c>
      <c r="I899" t="s">
        <v>1974</v>
      </c>
      <c r="J899" t="s">
        <v>172</v>
      </c>
    </row>
    <row r="900" spans="1:10" x14ac:dyDescent="0.35">
      <c r="A900">
        <v>58454</v>
      </c>
      <c r="B900" t="s">
        <v>149</v>
      </c>
      <c r="C900" t="s">
        <v>1975</v>
      </c>
      <c r="D900" t="s">
        <v>1552</v>
      </c>
      <c r="E900" t="s">
        <v>152</v>
      </c>
      <c r="G900">
        <v>0</v>
      </c>
      <c r="H900">
        <v>0.5</v>
      </c>
      <c r="I900" t="s">
        <v>1976</v>
      </c>
      <c r="J900" t="s">
        <v>995</v>
      </c>
    </row>
    <row r="901" spans="1:10" x14ac:dyDescent="0.35">
      <c r="A901">
        <v>58455</v>
      </c>
      <c r="B901" t="s">
        <v>149</v>
      </c>
      <c r="C901" t="s">
        <v>1977</v>
      </c>
      <c r="D901" t="s">
        <v>1552</v>
      </c>
      <c r="E901" t="s">
        <v>152</v>
      </c>
      <c r="G901">
        <v>0</v>
      </c>
      <c r="H901">
        <v>0.5</v>
      </c>
      <c r="I901" t="s">
        <v>1978</v>
      </c>
      <c r="J901" t="s">
        <v>995</v>
      </c>
    </row>
    <row r="902" spans="1:10" x14ac:dyDescent="0.35">
      <c r="A902">
        <v>58456</v>
      </c>
      <c r="B902" t="s">
        <v>149</v>
      </c>
      <c r="C902" t="s">
        <v>1979</v>
      </c>
      <c r="D902" t="s">
        <v>1552</v>
      </c>
      <c r="E902" t="s">
        <v>152</v>
      </c>
      <c r="G902">
        <v>0</v>
      </c>
      <c r="H902">
        <v>0.5</v>
      </c>
      <c r="I902" t="s">
        <v>1980</v>
      </c>
      <c r="J902" t="s">
        <v>995</v>
      </c>
    </row>
    <row r="903" spans="1:10" x14ac:dyDescent="0.35">
      <c r="A903">
        <v>58457</v>
      </c>
      <c r="B903" t="s">
        <v>149</v>
      </c>
      <c r="C903" t="s">
        <v>1981</v>
      </c>
      <c r="D903" t="s">
        <v>1552</v>
      </c>
      <c r="E903" t="s">
        <v>152</v>
      </c>
      <c r="G903">
        <v>0</v>
      </c>
      <c r="H903">
        <v>0.5</v>
      </c>
      <c r="I903" t="s">
        <v>1982</v>
      </c>
      <c r="J903" t="s">
        <v>995</v>
      </c>
    </row>
    <row r="904" spans="1:10" x14ac:dyDescent="0.35">
      <c r="A904">
        <v>58458</v>
      </c>
      <c r="B904" t="s">
        <v>149</v>
      </c>
      <c r="C904" t="s">
        <v>1983</v>
      </c>
      <c r="D904" t="s">
        <v>1552</v>
      </c>
      <c r="E904" t="s">
        <v>152</v>
      </c>
      <c r="G904">
        <v>0</v>
      </c>
      <c r="H904">
        <v>0.5</v>
      </c>
      <c r="I904" t="s">
        <v>1984</v>
      </c>
      <c r="J904" t="s">
        <v>995</v>
      </c>
    </row>
    <row r="905" spans="1:10" x14ac:dyDescent="0.35">
      <c r="A905">
        <v>58459</v>
      </c>
      <c r="B905" t="s">
        <v>149</v>
      </c>
      <c r="C905" t="s">
        <v>1985</v>
      </c>
      <c r="D905" t="s">
        <v>1552</v>
      </c>
      <c r="E905" t="s">
        <v>152</v>
      </c>
      <c r="G905">
        <v>0</v>
      </c>
      <c r="H905">
        <v>1</v>
      </c>
      <c r="I905" t="s">
        <v>1986</v>
      </c>
      <c r="J905" t="s">
        <v>995</v>
      </c>
    </row>
    <row r="906" spans="1:10" x14ac:dyDescent="0.35">
      <c r="A906">
        <v>58460</v>
      </c>
      <c r="B906" t="s">
        <v>149</v>
      </c>
      <c r="C906" t="s">
        <v>1987</v>
      </c>
      <c r="D906" t="s">
        <v>1552</v>
      </c>
      <c r="E906" t="s">
        <v>152</v>
      </c>
      <c r="G906">
        <v>0</v>
      </c>
      <c r="H906">
        <v>0.5</v>
      </c>
      <c r="I906" t="s">
        <v>1988</v>
      </c>
      <c r="J906" t="s">
        <v>995</v>
      </c>
    </row>
    <row r="907" spans="1:10" x14ac:dyDescent="0.35">
      <c r="A907">
        <v>58461</v>
      </c>
      <c r="B907" t="s">
        <v>149</v>
      </c>
      <c r="C907" t="s">
        <v>1989</v>
      </c>
      <c r="D907" t="s">
        <v>1552</v>
      </c>
      <c r="E907" t="s">
        <v>152</v>
      </c>
      <c r="G907">
        <v>0</v>
      </c>
      <c r="H907">
        <v>0.5</v>
      </c>
      <c r="I907" t="s">
        <v>1990</v>
      </c>
      <c r="J907" t="s">
        <v>995</v>
      </c>
    </row>
    <row r="908" spans="1:10" x14ac:dyDescent="0.35">
      <c r="A908">
        <v>58462</v>
      </c>
      <c r="B908" t="s">
        <v>149</v>
      </c>
      <c r="C908" t="s">
        <v>1991</v>
      </c>
      <c r="D908" t="s">
        <v>1552</v>
      </c>
      <c r="E908" t="s">
        <v>152</v>
      </c>
      <c r="G908">
        <v>0</v>
      </c>
      <c r="H908">
        <v>1</v>
      </c>
      <c r="I908" t="s">
        <v>1992</v>
      </c>
      <c r="J908" t="s">
        <v>995</v>
      </c>
    </row>
    <row r="909" spans="1:10" x14ac:dyDescent="0.35">
      <c r="A909">
        <v>58463</v>
      </c>
      <c r="B909" t="s">
        <v>149</v>
      </c>
      <c r="C909" t="s">
        <v>1993</v>
      </c>
      <c r="D909" t="s">
        <v>1552</v>
      </c>
      <c r="E909" t="s">
        <v>152</v>
      </c>
      <c r="G909">
        <v>0</v>
      </c>
      <c r="H909">
        <v>1</v>
      </c>
      <c r="I909" t="s">
        <v>1994</v>
      </c>
      <c r="J909" t="s">
        <v>995</v>
      </c>
    </row>
    <row r="910" spans="1:10" x14ac:dyDescent="0.35">
      <c r="A910">
        <v>58464</v>
      </c>
      <c r="B910" t="s">
        <v>149</v>
      </c>
      <c r="C910" t="s">
        <v>1995</v>
      </c>
      <c r="D910" t="s">
        <v>185</v>
      </c>
      <c r="E910" t="s">
        <v>152</v>
      </c>
      <c r="G910">
        <v>0</v>
      </c>
      <c r="H910">
        <v>1</v>
      </c>
      <c r="I910" t="s">
        <v>1996</v>
      </c>
      <c r="J910" t="s">
        <v>431</v>
      </c>
    </row>
    <row r="911" spans="1:10" x14ac:dyDescent="0.35">
      <c r="A911">
        <v>58465</v>
      </c>
      <c r="B911" t="s">
        <v>149</v>
      </c>
      <c r="C911" t="s">
        <v>1997</v>
      </c>
      <c r="D911" t="s">
        <v>1552</v>
      </c>
      <c r="E911" t="s">
        <v>152</v>
      </c>
      <c r="G911">
        <v>0</v>
      </c>
      <c r="H911">
        <v>1</v>
      </c>
      <c r="I911" t="s">
        <v>1998</v>
      </c>
      <c r="J911" t="s">
        <v>995</v>
      </c>
    </row>
    <row r="912" spans="1:10" x14ac:dyDescent="0.35">
      <c r="A912">
        <v>58466</v>
      </c>
      <c r="B912" t="s">
        <v>149</v>
      </c>
      <c r="C912" t="s">
        <v>1999</v>
      </c>
      <c r="D912" t="s">
        <v>1552</v>
      </c>
      <c r="E912" t="s">
        <v>152</v>
      </c>
      <c r="G912">
        <v>0</v>
      </c>
      <c r="H912">
        <v>0.5</v>
      </c>
      <c r="I912" t="s">
        <v>2000</v>
      </c>
      <c r="J912" t="s">
        <v>995</v>
      </c>
    </row>
    <row r="913" spans="1:10" x14ac:dyDescent="0.35">
      <c r="A913">
        <v>58467</v>
      </c>
      <c r="B913" t="s">
        <v>149</v>
      </c>
      <c r="C913" t="s">
        <v>2001</v>
      </c>
      <c r="D913" t="s">
        <v>1552</v>
      </c>
      <c r="E913" t="s">
        <v>152</v>
      </c>
      <c r="G913">
        <v>0</v>
      </c>
      <c r="H913">
        <v>0.5</v>
      </c>
      <c r="I913" t="s">
        <v>2002</v>
      </c>
      <c r="J913" t="s">
        <v>995</v>
      </c>
    </row>
    <row r="914" spans="1:10" x14ac:dyDescent="0.35">
      <c r="A914">
        <v>58468</v>
      </c>
      <c r="B914" t="s">
        <v>149</v>
      </c>
      <c r="C914" t="s">
        <v>2003</v>
      </c>
      <c r="D914" t="s">
        <v>1552</v>
      </c>
      <c r="E914" t="s">
        <v>152</v>
      </c>
      <c r="G914">
        <v>0</v>
      </c>
      <c r="H914">
        <v>0.5</v>
      </c>
      <c r="I914" t="s">
        <v>2004</v>
      </c>
      <c r="J914" t="s">
        <v>998</v>
      </c>
    </row>
    <row r="915" spans="1:10" x14ac:dyDescent="0.35">
      <c r="A915">
        <v>58469</v>
      </c>
      <c r="B915" t="s">
        <v>149</v>
      </c>
      <c r="C915" t="s">
        <v>2005</v>
      </c>
      <c r="D915" t="s">
        <v>1552</v>
      </c>
      <c r="E915" t="s">
        <v>152</v>
      </c>
      <c r="G915">
        <v>0</v>
      </c>
      <c r="H915">
        <v>0.5</v>
      </c>
      <c r="I915" t="s">
        <v>2006</v>
      </c>
      <c r="J915" t="s">
        <v>998</v>
      </c>
    </row>
    <row r="916" spans="1:10" x14ac:dyDescent="0.35">
      <c r="A916">
        <v>58470</v>
      </c>
      <c r="B916" t="s">
        <v>149</v>
      </c>
      <c r="C916" t="s">
        <v>2007</v>
      </c>
      <c r="D916" t="s">
        <v>1552</v>
      </c>
      <c r="E916" t="s">
        <v>152</v>
      </c>
      <c r="G916">
        <v>0</v>
      </c>
      <c r="H916">
        <v>0.5</v>
      </c>
      <c r="I916" t="s">
        <v>2008</v>
      </c>
      <c r="J916" t="s">
        <v>998</v>
      </c>
    </row>
    <row r="917" spans="1:10" x14ac:dyDescent="0.35">
      <c r="A917">
        <v>58471</v>
      </c>
      <c r="B917" t="s">
        <v>149</v>
      </c>
      <c r="C917" t="s">
        <v>2009</v>
      </c>
      <c r="D917" t="s">
        <v>1552</v>
      </c>
      <c r="E917" t="s">
        <v>152</v>
      </c>
      <c r="G917">
        <v>0</v>
      </c>
      <c r="H917">
        <v>0.5</v>
      </c>
      <c r="I917" t="s">
        <v>2010</v>
      </c>
      <c r="J917" t="s">
        <v>998</v>
      </c>
    </row>
    <row r="918" spans="1:10" x14ac:dyDescent="0.35">
      <c r="A918">
        <v>58472</v>
      </c>
      <c r="B918" t="s">
        <v>149</v>
      </c>
      <c r="C918" t="s">
        <v>2011</v>
      </c>
      <c r="D918" t="s">
        <v>1552</v>
      </c>
      <c r="E918" t="s">
        <v>152</v>
      </c>
      <c r="G918">
        <v>0</v>
      </c>
      <c r="H918">
        <v>0.5</v>
      </c>
      <c r="I918" t="s">
        <v>2012</v>
      </c>
      <c r="J918" t="s">
        <v>998</v>
      </c>
    </row>
    <row r="919" spans="1:10" x14ac:dyDescent="0.35">
      <c r="A919">
        <v>58473</v>
      </c>
      <c r="B919" t="s">
        <v>149</v>
      </c>
      <c r="C919" t="s">
        <v>2013</v>
      </c>
      <c r="D919" t="s">
        <v>1552</v>
      </c>
      <c r="E919" t="s">
        <v>152</v>
      </c>
      <c r="G919">
        <v>0</v>
      </c>
      <c r="H919">
        <v>0.5</v>
      </c>
      <c r="I919" t="s">
        <v>2014</v>
      </c>
      <c r="J919" t="s">
        <v>998</v>
      </c>
    </row>
    <row r="920" spans="1:10" x14ac:dyDescent="0.35">
      <c r="A920">
        <v>58474</v>
      </c>
      <c r="B920" t="s">
        <v>149</v>
      </c>
      <c r="C920" t="s">
        <v>2015</v>
      </c>
      <c r="D920" t="s">
        <v>1552</v>
      </c>
      <c r="E920" t="s">
        <v>152</v>
      </c>
      <c r="G920">
        <v>0</v>
      </c>
      <c r="H920">
        <v>0.5</v>
      </c>
      <c r="I920" t="s">
        <v>2016</v>
      </c>
      <c r="J920" t="s">
        <v>998</v>
      </c>
    </row>
    <row r="921" spans="1:10" x14ac:dyDescent="0.35">
      <c r="A921">
        <v>58475</v>
      </c>
      <c r="B921" t="s">
        <v>149</v>
      </c>
      <c r="C921" t="s">
        <v>2017</v>
      </c>
      <c r="D921" t="s">
        <v>1552</v>
      </c>
      <c r="E921" t="s">
        <v>152</v>
      </c>
      <c r="G921">
        <v>0</v>
      </c>
      <c r="H921">
        <v>0.5</v>
      </c>
      <c r="I921" t="s">
        <v>2018</v>
      </c>
      <c r="J921" t="s">
        <v>998</v>
      </c>
    </row>
    <row r="922" spans="1:10" x14ac:dyDescent="0.35">
      <c r="A922">
        <v>58476</v>
      </c>
      <c r="B922" t="s">
        <v>149</v>
      </c>
      <c r="C922" t="s">
        <v>2019</v>
      </c>
      <c r="D922" t="s">
        <v>1552</v>
      </c>
      <c r="E922" t="s">
        <v>152</v>
      </c>
      <c r="G922">
        <v>0</v>
      </c>
      <c r="H922">
        <v>0.5</v>
      </c>
      <c r="I922" t="s">
        <v>2020</v>
      </c>
      <c r="J922" t="s">
        <v>998</v>
      </c>
    </row>
    <row r="923" spans="1:10" x14ac:dyDescent="0.35">
      <c r="A923">
        <v>58477</v>
      </c>
      <c r="B923" t="s">
        <v>149</v>
      </c>
      <c r="C923" t="s">
        <v>2021</v>
      </c>
      <c r="D923" t="s">
        <v>1552</v>
      </c>
      <c r="E923" t="s">
        <v>152</v>
      </c>
      <c r="G923">
        <v>0</v>
      </c>
      <c r="H923">
        <v>0.5</v>
      </c>
      <c r="I923" t="s">
        <v>2022</v>
      </c>
      <c r="J923" t="s">
        <v>998</v>
      </c>
    </row>
    <row r="924" spans="1:10" x14ac:dyDescent="0.35">
      <c r="A924">
        <v>58478</v>
      </c>
      <c r="B924" t="s">
        <v>149</v>
      </c>
      <c r="C924" t="s">
        <v>2023</v>
      </c>
      <c r="D924" t="s">
        <v>1552</v>
      </c>
      <c r="E924" t="s">
        <v>152</v>
      </c>
      <c r="G924">
        <v>0</v>
      </c>
      <c r="H924">
        <v>0.5</v>
      </c>
      <c r="I924" t="s">
        <v>2024</v>
      </c>
      <c r="J924" t="s">
        <v>995</v>
      </c>
    </row>
    <row r="925" spans="1:10" x14ac:dyDescent="0.35">
      <c r="A925">
        <v>58479</v>
      </c>
      <c r="B925" t="s">
        <v>149</v>
      </c>
      <c r="C925" t="s">
        <v>2025</v>
      </c>
      <c r="D925" t="s">
        <v>1552</v>
      </c>
      <c r="E925" t="s">
        <v>152</v>
      </c>
      <c r="G925">
        <v>0</v>
      </c>
      <c r="H925">
        <v>0.5</v>
      </c>
      <c r="I925" t="s">
        <v>2026</v>
      </c>
      <c r="J925" t="s">
        <v>995</v>
      </c>
    </row>
    <row r="926" spans="1:10" x14ac:dyDescent="0.35">
      <c r="A926">
        <v>58480</v>
      </c>
      <c r="B926" t="s">
        <v>149</v>
      </c>
      <c r="C926" t="s">
        <v>2027</v>
      </c>
      <c r="D926" t="s">
        <v>1552</v>
      </c>
      <c r="E926" t="s">
        <v>152</v>
      </c>
      <c r="G926">
        <v>0</v>
      </c>
      <c r="H926">
        <v>0.5</v>
      </c>
      <c r="I926" t="s">
        <v>2028</v>
      </c>
      <c r="J926" t="s">
        <v>998</v>
      </c>
    </row>
    <row r="927" spans="1:10" x14ac:dyDescent="0.35">
      <c r="A927">
        <v>58481</v>
      </c>
      <c r="B927" t="s">
        <v>149</v>
      </c>
      <c r="C927" t="s">
        <v>2029</v>
      </c>
      <c r="D927" t="s">
        <v>1552</v>
      </c>
      <c r="E927" t="s">
        <v>152</v>
      </c>
      <c r="G927">
        <v>0</v>
      </c>
      <c r="H927">
        <v>0.5</v>
      </c>
      <c r="I927" t="s">
        <v>2030</v>
      </c>
      <c r="J927" t="s">
        <v>998</v>
      </c>
    </row>
    <row r="928" spans="1:10" x14ac:dyDescent="0.35">
      <c r="A928">
        <v>58482</v>
      </c>
      <c r="B928" t="s">
        <v>149</v>
      </c>
      <c r="C928" t="s">
        <v>2031</v>
      </c>
      <c r="D928" t="s">
        <v>1552</v>
      </c>
      <c r="E928" t="s">
        <v>152</v>
      </c>
      <c r="G928">
        <v>0</v>
      </c>
      <c r="H928">
        <v>0.5</v>
      </c>
      <c r="I928" t="s">
        <v>2032</v>
      </c>
      <c r="J928" t="s">
        <v>947</v>
      </c>
    </row>
    <row r="929" spans="1:10" x14ac:dyDescent="0.35">
      <c r="A929">
        <v>58483</v>
      </c>
      <c r="B929" t="s">
        <v>149</v>
      </c>
      <c r="C929" t="s">
        <v>2033</v>
      </c>
      <c r="D929" t="s">
        <v>1552</v>
      </c>
      <c r="E929" t="s">
        <v>152</v>
      </c>
      <c r="G929">
        <v>0</v>
      </c>
      <c r="H929">
        <v>0.5</v>
      </c>
      <c r="I929" t="s">
        <v>2034</v>
      </c>
      <c r="J929" t="s">
        <v>995</v>
      </c>
    </row>
    <row r="930" spans="1:10" x14ac:dyDescent="0.35">
      <c r="A930">
        <v>58484</v>
      </c>
      <c r="B930" t="s">
        <v>149</v>
      </c>
      <c r="C930" t="s">
        <v>2035</v>
      </c>
      <c r="D930" t="s">
        <v>1552</v>
      </c>
      <c r="E930" t="s">
        <v>152</v>
      </c>
      <c r="G930">
        <v>0</v>
      </c>
      <c r="H930">
        <v>0.5</v>
      </c>
      <c r="I930" t="s">
        <v>2036</v>
      </c>
      <c r="J930" t="s">
        <v>998</v>
      </c>
    </row>
    <row r="931" spans="1:10" x14ac:dyDescent="0.35">
      <c r="A931">
        <v>58485</v>
      </c>
      <c r="B931" t="s">
        <v>149</v>
      </c>
      <c r="C931" t="s">
        <v>2037</v>
      </c>
      <c r="D931" t="s">
        <v>1552</v>
      </c>
      <c r="E931" t="s">
        <v>152</v>
      </c>
      <c r="G931">
        <v>0</v>
      </c>
      <c r="H931">
        <v>0.5</v>
      </c>
      <c r="I931" t="s">
        <v>2038</v>
      </c>
      <c r="J931" t="s">
        <v>995</v>
      </c>
    </row>
    <row r="932" spans="1:10" x14ac:dyDescent="0.35">
      <c r="A932">
        <v>58486</v>
      </c>
      <c r="B932" t="s">
        <v>149</v>
      </c>
      <c r="C932" t="s">
        <v>2039</v>
      </c>
      <c r="D932" t="s">
        <v>1552</v>
      </c>
      <c r="E932" t="s">
        <v>152</v>
      </c>
      <c r="G932">
        <v>0</v>
      </c>
      <c r="H932">
        <v>0.5</v>
      </c>
      <c r="I932" t="s">
        <v>2040</v>
      </c>
      <c r="J932" t="s">
        <v>995</v>
      </c>
    </row>
    <row r="933" spans="1:10" x14ac:dyDescent="0.35">
      <c r="A933">
        <v>58487</v>
      </c>
      <c r="B933" t="s">
        <v>149</v>
      </c>
      <c r="C933" t="s">
        <v>2041</v>
      </c>
      <c r="D933" t="s">
        <v>1552</v>
      </c>
      <c r="E933" t="s">
        <v>152</v>
      </c>
      <c r="G933">
        <v>0</v>
      </c>
      <c r="H933">
        <v>0.5</v>
      </c>
      <c r="I933" t="s">
        <v>2042</v>
      </c>
      <c r="J933" t="s">
        <v>172</v>
      </c>
    </row>
    <row r="934" spans="1:10" x14ac:dyDescent="0.35">
      <c r="A934">
        <v>58488</v>
      </c>
      <c r="B934" t="s">
        <v>149</v>
      </c>
      <c r="C934" t="s">
        <v>2043</v>
      </c>
      <c r="D934" t="s">
        <v>1552</v>
      </c>
      <c r="E934" t="s">
        <v>152</v>
      </c>
      <c r="G934">
        <v>0</v>
      </c>
      <c r="H934">
        <v>0.5</v>
      </c>
      <c r="I934" t="s">
        <v>2044</v>
      </c>
      <c r="J934" t="s">
        <v>172</v>
      </c>
    </row>
    <row r="935" spans="1:10" x14ac:dyDescent="0.35">
      <c r="A935">
        <v>58489</v>
      </c>
      <c r="B935" t="s">
        <v>149</v>
      </c>
      <c r="C935" t="s">
        <v>2045</v>
      </c>
      <c r="D935" t="s">
        <v>1552</v>
      </c>
      <c r="E935" t="s">
        <v>152</v>
      </c>
      <c r="G935">
        <v>0</v>
      </c>
      <c r="H935">
        <v>0.5</v>
      </c>
      <c r="I935" t="s">
        <v>2046</v>
      </c>
      <c r="J935" t="s">
        <v>172</v>
      </c>
    </row>
    <row r="936" spans="1:10" x14ac:dyDescent="0.35">
      <c r="A936">
        <v>58490</v>
      </c>
      <c r="B936" t="s">
        <v>149</v>
      </c>
      <c r="C936" t="s">
        <v>2047</v>
      </c>
      <c r="D936" t="s">
        <v>1552</v>
      </c>
      <c r="E936" t="s">
        <v>152</v>
      </c>
      <c r="G936">
        <v>0</v>
      </c>
      <c r="H936">
        <v>0.5</v>
      </c>
      <c r="I936" t="s">
        <v>2048</v>
      </c>
      <c r="J936" t="s">
        <v>172</v>
      </c>
    </row>
    <row r="937" spans="1:10" x14ac:dyDescent="0.35">
      <c r="A937">
        <v>58491</v>
      </c>
      <c r="B937" t="s">
        <v>149</v>
      </c>
      <c r="C937" t="s">
        <v>2049</v>
      </c>
      <c r="D937" t="s">
        <v>1552</v>
      </c>
      <c r="E937" t="s">
        <v>152</v>
      </c>
      <c r="G937">
        <v>0</v>
      </c>
      <c r="H937">
        <v>0.5</v>
      </c>
      <c r="I937" t="s">
        <v>2050</v>
      </c>
      <c r="J937" t="s">
        <v>995</v>
      </c>
    </row>
    <row r="938" spans="1:10" x14ac:dyDescent="0.35">
      <c r="A938">
        <v>58492</v>
      </c>
      <c r="B938" t="s">
        <v>149</v>
      </c>
      <c r="C938" t="s">
        <v>2051</v>
      </c>
      <c r="D938" t="s">
        <v>1552</v>
      </c>
      <c r="E938" t="s">
        <v>152</v>
      </c>
      <c r="G938">
        <v>0</v>
      </c>
      <c r="H938">
        <v>0.5</v>
      </c>
      <c r="I938" t="s">
        <v>2052</v>
      </c>
      <c r="J938" t="s">
        <v>995</v>
      </c>
    </row>
    <row r="939" spans="1:10" x14ac:dyDescent="0.35">
      <c r="A939">
        <v>58493</v>
      </c>
      <c r="B939" t="s">
        <v>149</v>
      </c>
      <c r="C939" t="s">
        <v>2053</v>
      </c>
      <c r="D939" t="s">
        <v>1552</v>
      </c>
      <c r="E939" t="s">
        <v>152</v>
      </c>
      <c r="G939">
        <v>0</v>
      </c>
      <c r="H939">
        <v>0.5</v>
      </c>
      <c r="I939" t="s">
        <v>2054</v>
      </c>
      <c r="J939" t="s">
        <v>995</v>
      </c>
    </row>
    <row r="940" spans="1:10" x14ac:dyDescent="0.35">
      <c r="A940">
        <v>58494</v>
      </c>
      <c r="B940" t="s">
        <v>149</v>
      </c>
      <c r="C940" t="s">
        <v>2055</v>
      </c>
      <c r="D940" t="s">
        <v>1552</v>
      </c>
      <c r="E940" t="s">
        <v>152</v>
      </c>
      <c r="G940">
        <v>0</v>
      </c>
      <c r="H940">
        <v>1</v>
      </c>
      <c r="I940" t="s">
        <v>2056</v>
      </c>
      <c r="J940" t="s">
        <v>172</v>
      </c>
    </row>
    <row r="941" spans="1:10" x14ac:dyDescent="0.35">
      <c r="A941">
        <v>58495</v>
      </c>
      <c r="B941" t="s">
        <v>149</v>
      </c>
      <c r="C941" t="s">
        <v>2057</v>
      </c>
      <c r="D941" t="s">
        <v>1552</v>
      </c>
      <c r="E941" t="s">
        <v>152</v>
      </c>
      <c r="G941">
        <v>0</v>
      </c>
      <c r="H941">
        <v>1</v>
      </c>
      <c r="I941" t="s">
        <v>2058</v>
      </c>
      <c r="J941" t="s">
        <v>998</v>
      </c>
    </row>
    <row r="942" spans="1:10" x14ac:dyDescent="0.35">
      <c r="A942">
        <v>58496</v>
      </c>
      <c r="B942" t="s">
        <v>149</v>
      </c>
      <c r="C942" t="s">
        <v>2059</v>
      </c>
      <c r="D942" t="s">
        <v>1552</v>
      </c>
      <c r="E942" t="s">
        <v>152</v>
      </c>
      <c r="G942">
        <v>0</v>
      </c>
      <c r="H942">
        <v>1</v>
      </c>
      <c r="I942" t="s">
        <v>2060</v>
      </c>
      <c r="J942" t="s">
        <v>998</v>
      </c>
    </row>
    <row r="943" spans="1:10" x14ac:dyDescent="0.35">
      <c r="A943">
        <v>58497</v>
      </c>
      <c r="B943" t="s">
        <v>149</v>
      </c>
      <c r="C943" t="s">
        <v>2061</v>
      </c>
      <c r="D943" t="s">
        <v>1552</v>
      </c>
      <c r="E943" t="s">
        <v>152</v>
      </c>
      <c r="G943">
        <v>0</v>
      </c>
      <c r="H943">
        <v>1</v>
      </c>
      <c r="I943" t="s">
        <v>2062</v>
      </c>
      <c r="J943" t="s">
        <v>995</v>
      </c>
    </row>
    <row r="944" spans="1:10" x14ac:dyDescent="0.35">
      <c r="A944">
        <v>58498</v>
      </c>
      <c r="B944" t="s">
        <v>149</v>
      </c>
      <c r="C944" t="s">
        <v>2063</v>
      </c>
      <c r="D944" t="s">
        <v>1552</v>
      </c>
      <c r="E944" t="s">
        <v>152</v>
      </c>
      <c r="G944">
        <v>0</v>
      </c>
      <c r="H944">
        <v>1</v>
      </c>
      <c r="I944" t="s">
        <v>2064</v>
      </c>
      <c r="J944" t="s">
        <v>172</v>
      </c>
    </row>
    <row r="945" spans="1:10" x14ac:dyDescent="0.35">
      <c r="A945">
        <v>58499</v>
      </c>
      <c r="B945" t="s">
        <v>149</v>
      </c>
      <c r="C945" t="s">
        <v>2065</v>
      </c>
      <c r="D945" t="s">
        <v>1552</v>
      </c>
      <c r="E945" t="s">
        <v>152</v>
      </c>
      <c r="G945">
        <v>0</v>
      </c>
      <c r="H945">
        <v>1</v>
      </c>
      <c r="I945" t="s">
        <v>2066</v>
      </c>
      <c r="J945" t="s">
        <v>995</v>
      </c>
    </row>
    <row r="946" spans="1:10" x14ac:dyDescent="0.35">
      <c r="A946">
        <v>58500</v>
      </c>
      <c r="B946" t="s">
        <v>149</v>
      </c>
      <c r="C946" t="s">
        <v>2067</v>
      </c>
      <c r="D946" t="s">
        <v>1552</v>
      </c>
      <c r="E946" t="s">
        <v>152</v>
      </c>
      <c r="G946">
        <v>0</v>
      </c>
      <c r="H946">
        <v>1</v>
      </c>
      <c r="I946" t="s">
        <v>2068</v>
      </c>
      <c r="J946" t="s">
        <v>998</v>
      </c>
    </row>
    <row r="947" spans="1:10" x14ac:dyDescent="0.35">
      <c r="A947">
        <v>58501</v>
      </c>
      <c r="B947" t="s">
        <v>149</v>
      </c>
      <c r="C947" t="s">
        <v>2069</v>
      </c>
      <c r="D947" t="s">
        <v>1552</v>
      </c>
      <c r="E947" t="s">
        <v>152</v>
      </c>
      <c r="G947">
        <v>0</v>
      </c>
      <c r="H947">
        <v>1</v>
      </c>
      <c r="I947" t="s">
        <v>2070</v>
      </c>
      <c r="J947" t="s">
        <v>998</v>
      </c>
    </row>
    <row r="948" spans="1:10" x14ac:dyDescent="0.35">
      <c r="A948">
        <v>58502</v>
      </c>
      <c r="B948" t="s">
        <v>149</v>
      </c>
      <c r="C948" t="s">
        <v>2071</v>
      </c>
      <c r="D948" t="s">
        <v>1552</v>
      </c>
      <c r="E948" t="s">
        <v>152</v>
      </c>
      <c r="G948">
        <v>0</v>
      </c>
      <c r="H948">
        <v>1</v>
      </c>
      <c r="I948" t="s">
        <v>2072</v>
      </c>
      <c r="J948" t="s">
        <v>995</v>
      </c>
    </row>
    <row r="949" spans="1:10" x14ac:dyDescent="0.35">
      <c r="A949">
        <v>58503</v>
      </c>
      <c r="B949" t="s">
        <v>149</v>
      </c>
      <c r="C949" t="s">
        <v>2073</v>
      </c>
      <c r="D949" t="s">
        <v>1552</v>
      </c>
      <c r="E949" t="s">
        <v>152</v>
      </c>
      <c r="G949">
        <v>0</v>
      </c>
      <c r="H949">
        <v>0.5</v>
      </c>
      <c r="I949" t="s">
        <v>2074</v>
      </c>
      <c r="J949" t="s">
        <v>995</v>
      </c>
    </row>
    <row r="950" spans="1:10" x14ac:dyDescent="0.35">
      <c r="A950">
        <v>58504</v>
      </c>
      <c r="B950" t="s">
        <v>149</v>
      </c>
      <c r="C950" t="s">
        <v>2075</v>
      </c>
      <c r="D950" t="s">
        <v>1552</v>
      </c>
      <c r="E950" t="s">
        <v>152</v>
      </c>
      <c r="G950">
        <v>0</v>
      </c>
      <c r="H950">
        <v>0.5</v>
      </c>
      <c r="I950" t="s">
        <v>2076</v>
      </c>
      <c r="J950" t="s">
        <v>998</v>
      </c>
    </row>
    <row r="951" spans="1:10" x14ac:dyDescent="0.35">
      <c r="A951">
        <v>58505</v>
      </c>
      <c r="B951" t="s">
        <v>149</v>
      </c>
      <c r="C951" t="s">
        <v>2077</v>
      </c>
      <c r="D951" t="s">
        <v>1552</v>
      </c>
      <c r="E951" t="s">
        <v>152</v>
      </c>
      <c r="G951">
        <v>0</v>
      </c>
      <c r="H951">
        <v>0.5</v>
      </c>
      <c r="I951" t="s">
        <v>2078</v>
      </c>
      <c r="J951" t="s">
        <v>995</v>
      </c>
    </row>
    <row r="952" spans="1:10" x14ac:dyDescent="0.35">
      <c r="A952">
        <v>58506</v>
      </c>
      <c r="B952" t="s">
        <v>149</v>
      </c>
      <c r="C952" t="s">
        <v>2079</v>
      </c>
      <c r="D952" t="s">
        <v>1552</v>
      </c>
      <c r="E952" t="s">
        <v>152</v>
      </c>
      <c r="G952">
        <v>0</v>
      </c>
      <c r="H952">
        <v>0.5</v>
      </c>
      <c r="I952" t="s">
        <v>2080</v>
      </c>
      <c r="J952" t="s">
        <v>995</v>
      </c>
    </row>
    <row r="953" spans="1:10" x14ac:dyDescent="0.35">
      <c r="A953">
        <v>58507</v>
      </c>
      <c r="B953" t="s">
        <v>149</v>
      </c>
      <c r="C953" t="s">
        <v>2081</v>
      </c>
      <c r="D953" t="s">
        <v>1552</v>
      </c>
      <c r="E953" t="s">
        <v>152</v>
      </c>
      <c r="G953">
        <v>0</v>
      </c>
      <c r="H953">
        <v>0.5</v>
      </c>
      <c r="I953" t="s">
        <v>2082</v>
      </c>
      <c r="J953" t="s">
        <v>947</v>
      </c>
    </row>
    <row r="954" spans="1:10" x14ac:dyDescent="0.35">
      <c r="A954">
        <v>58508</v>
      </c>
      <c r="B954" t="s">
        <v>149</v>
      </c>
      <c r="C954" t="s">
        <v>2083</v>
      </c>
      <c r="D954" t="s">
        <v>1552</v>
      </c>
      <c r="E954" t="s">
        <v>152</v>
      </c>
      <c r="G954">
        <v>0</v>
      </c>
      <c r="H954">
        <v>0.5</v>
      </c>
      <c r="I954" t="s">
        <v>2084</v>
      </c>
      <c r="J954" t="s">
        <v>998</v>
      </c>
    </row>
    <row r="955" spans="1:10" x14ac:dyDescent="0.35">
      <c r="A955">
        <v>58509</v>
      </c>
      <c r="B955" t="s">
        <v>149</v>
      </c>
      <c r="C955" t="s">
        <v>2085</v>
      </c>
      <c r="D955" t="s">
        <v>1552</v>
      </c>
      <c r="E955" t="s">
        <v>152</v>
      </c>
      <c r="G955">
        <v>0</v>
      </c>
      <c r="H955">
        <v>0.5</v>
      </c>
      <c r="I955" t="s">
        <v>2086</v>
      </c>
      <c r="J955" t="s">
        <v>998</v>
      </c>
    </row>
    <row r="956" spans="1:10" x14ac:dyDescent="0.35">
      <c r="A956">
        <v>58510</v>
      </c>
      <c r="B956" t="s">
        <v>149</v>
      </c>
      <c r="C956" t="s">
        <v>2087</v>
      </c>
      <c r="D956" t="s">
        <v>1552</v>
      </c>
      <c r="E956" t="s">
        <v>152</v>
      </c>
      <c r="G956">
        <v>0</v>
      </c>
      <c r="H956">
        <v>0.5</v>
      </c>
      <c r="I956" t="s">
        <v>2088</v>
      </c>
      <c r="J956" t="s">
        <v>172</v>
      </c>
    </row>
    <row r="957" spans="1:10" x14ac:dyDescent="0.35">
      <c r="A957">
        <v>58511</v>
      </c>
      <c r="B957" t="s">
        <v>149</v>
      </c>
      <c r="C957" t="s">
        <v>2089</v>
      </c>
      <c r="D957" t="s">
        <v>1552</v>
      </c>
      <c r="E957" t="s">
        <v>152</v>
      </c>
      <c r="G957">
        <v>0</v>
      </c>
      <c r="H957">
        <v>0.5</v>
      </c>
      <c r="I957" t="s">
        <v>2090</v>
      </c>
      <c r="J957" t="s">
        <v>172</v>
      </c>
    </row>
    <row r="958" spans="1:10" x14ac:dyDescent="0.35">
      <c r="A958">
        <v>58512</v>
      </c>
      <c r="B958" t="s">
        <v>149</v>
      </c>
      <c r="C958" t="s">
        <v>2091</v>
      </c>
      <c r="D958" t="s">
        <v>1552</v>
      </c>
      <c r="E958" t="s">
        <v>152</v>
      </c>
      <c r="G958">
        <v>0</v>
      </c>
      <c r="H958">
        <v>0.5</v>
      </c>
      <c r="I958" t="s">
        <v>2092</v>
      </c>
      <c r="J958" t="s">
        <v>998</v>
      </c>
    </row>
    <row r="959" spans="1:10" x14ac:dyDescent="0.35">
      <c r="A959">
        <v>58513</v>
      </c>
      <c r="B959" t="s">
        <v>149</v>
      </c>
      <c r="C959" t="s">
        <v>2093</v>
      </c>
      <c r="D959" t="s">
        <v>1552</v>
      </c>
      <c r="E959" t="s">
        <v>152</v>
      </c>
      <c r="G959">
        <v>0</v>
      </c>
      <c r="H959">
        <v>0.5</v>
      </c>
      <c r="I959" t="s">
        <v>2094</v>
      </c>
      <c r="J959" t="s">
        <v>947</v>
      </c>
    </row>
    <row r="960" spans="1:10" x14ac:dyDescent="0.35">
      <c r="A960">
        <v>58514</v>
      </c>
      <c r="B960" t="s">
        <v>149</v>
      </c>
      <c r="C960" t="s">
        <v>2095</v>
      </c>
      <c r="D960" t="s">
        <v>1552</v>
      </c>
      <c r="E960" t="s">
        <v>152</v>
      </c>
      <c r="G960">
        <v>0</v>
      </c>
      <c r="H960">
        <v>0.5</v>
      </c>
      <c r="I960" t="s">
        <v>2096</v>
      </c>
      <c r="J960" t="s">
        <v>947</v>
      </c>
    </row>
    <row r="961" spans="1:10" x14ac:dyDescent="0.35">
      <c r="A961">
        <v>58515</v>
      </c>
      <c r="B961" t="s">
        <v>149</v>
      </c>
      <c r="C961" t="s">
        <v>2097</v>
      </c>
      <c r="D961" t="s">
        <v>1552</v>
      </c>
      <c r="E961" t="s">
        <v>152</v>
      </c>
      <c r="G961">
        <v>0</v>
      </c>
      <c r="H961">
        <v>0.5</v>
      </c>
      <c r="I961" t="s">
        <v>2098</v>
      </c>
      <c r="J961" t="s">
        <v>995</v>
      </c>
    </row>
    <row r="962" spans="1:10" x14ac:dyDescent="0.35">
      <c r="A962">
        <v>58516</v>
      </c>
      <c r="B962" t="s">
        <v>149</v>
      </c>
      <c r="C962" t="s">
        <v>2099</v>
      </c>
      <c r="D962" t="s">
        <v>1552</v>
      </c>
      <c r="E962" t="s">
        <v>152</v>
      </c>
      <c r="G962">
        <v>0</v>
      </c>
      <c r="H962">
        <v>0.5</v>
      </c>
      <c r="I962" t="s">
        <v>2100</v>
      </c>
      <c r="J962" t="s">
        <v>947</v>
      </c>
    </row>
    <row r="963" spans="1:10" x14ac:dyDescent="0.35">
      <c r="A963">
        <v>58517</v>
      </c>
      <c r="B963" t="s">
        <v>149</v>
      </c>
      <c r="C963" t="s">
        <v>2101</v>
      </c>
      <c r="D963" t="s">
        <v>1552</v>
      </c>
      <c r="E963" t="s">
        <v>152</v>
      </c>
      <c r="G963">
        <v>0</v>
      </c>
      <c r="H963">
        <v>0.5</v>
      </c>
      <c r="I963" t="s">
        <v>2102</v>
      </c>
      <c r="J963" t="s">
        <v>995</v>
      </c>
    </row>
    <row r="964" spans="1:10" x14ac:dyDescent="0.35">
      <c r="A964">
        <v>58518</v>
      </c>
      <c r="B964" t="s">
        <v>149</v>
      </c>
      <c r="C964" t="s">
        <v>2103</v>
      </c>
      <c r="D964" t="s">
        <v>1552</v>
      </c>
      <c r="E964" t="s">
        <v>152</v>
      </c>
      <c r="G964">
        <v>0</v>
      </c>
      <c r="H964">
        <v>0.5</v>
      </c>
      <c r="I964" t="s">
        <v>2104</v>
      </c>
      <c r="J964" t="s">
        <v>172</v>
      </c>
    </row>
    <row r="965" spans="1:10" x14ac:dyDescent="0.35">
      <c r="A965">
        <v>58519</v>
      </c>
      <c r="B965" t="s">
        <v>149</v>
      </c>
      <c r="C965" t="s">
        <v>2105</v>
      </c>
      <c r="D965" t="s">
        <v>1552</v>
      </c>
      <c r="E965" t="s">
        <v>152</v>
      </c>
      <c r="G965">
        <v>0</v>
      </c>
      <c r="H965">
        <v>1</v>
      </c>
      <c r="I965" t="s">
        <v>2106</v>
      </c>
      <c r="J965" t="s">
        <v>998</v>
      </c>
    </row>
    <row r="966" spans="1:10" x14ac:dyDescent="0.35">
      <c r="A966">
        <v>58521</v>
      </c>
      <c r="B966" t="s">
        <v>149</v>
      </c>
      <c r="C966" t="s">
        <v>2107</v>
      </c>
      <c r="D966" t="s">
        <v>185</v>
      </c>
      <c r="E966" t="s">
        <v>152</v>
      </c>
      <c r="G966">
        <v>1</v>
      </c>
      <c r="H966">
        <v>1</v>
      </c>
      <c r="I966" t="s">
        <v>2108</v>
      </c>
      <c r="J966" t="s">
        <v>201</v>
      </c>
    </row>
    <row r="967" spans="1:10" x14ac:dyDescent="0.35">
      <c r="A967">
        <v>58524</v>
      </c>
      <c r="B967" t="s">
        <v>149</v>
      </c>
      <c r="C967" t="s">
        <v>2109</v>
      </c>
      <c r="D967" t="s">
        <v>185</v>
      </c>
      <c r="E967" t="s">
        <v>152</v>
      </c>
      <c r="G967">
        <v>0</v>
      </c>
      <c r="H967">
        <v>1</v>
      </c>
      <c r="I967" t="s">
        <v>2110</v>
      </c>
      <c r="J967" t="s">
        <v>201</v>
      </c>
    </row>
    <row r="968" spans="1:10" x14ac:dyDescent="0.35">
      <c r="A968">
        <v>58526</v>
      </c>
      <c r="B968" t="s">
        <v>149</v>
      </c>
      <c r="C968" t="s">
        <v>2111</v>
      </c>
      <c r="D968" t="s">
        <v>185</v>
      </c>
      <c r="E968" t="s">
        <v>152</v>
      </c>
      <c r="G968">
        <v>1</v>
      </c>
      <c r="H968">
        <v>2</v>
      </c>
      <c r="I968" t="s">
        <v>2112</v>
      </c>
      <c r="J968" t="s">
        <v>201</v>
      </c>
    </row>
    <row r="969" spans="1:10" x14ac:dyDescent="0.35">
      <c r="A969">
        <v>58528</v>
      </c>
      <c r="B969" t="s">
        <v>149</v>
      </c>
      <c r="C969" t="s">
        <v>2113</v>
      </c>
      <c r="D969" t="s">
        <v>185</v>
      </c>
      <c r="E969" t="s">
        <v>152</v>
      </c>
      <c r="G969">
        <v>0</v>
      </c>
      <c r="H969">
        <v>2</v>
      </c>
      <c r="I969" t="s">
        <v>2114</v>
      </c>
      <c r="J969" t="s">
        <v>431</v>
      </c>
    </row>
    <row r="970" spans="1:10" x14ac:dyDescent="0.35">
      <c r="A970">
        <v>58530</v>
      </c>
      <c r="B970" t="s">
        <v>149</v>
      </c>
      <c r="C970" t="s">
        <v>2115</v>
      </c>
      <c r="D970" t="s">
        <v>185</v>
      </c>
      <c r="E970" t="s">
        <v>152</v>
      </c>
      <c r="G970">
        <v>1</v>
      </c>
      <c r="H970">
        <v>1</v>
      </c>
      <c r="I970" t="s">
        <v>2116</v>
      </c>
      <c r="J970" t="s">
        <v>431</v>
      </c>
    </row>
    <row r="971" spans="1:10" x14ac:dyDescent="0.35">
      <c r="A971">
        <v>58531</v>
      </c>
      <c r="B971" t="s">
        <v>149</v>
      </c>
      <c r="C971" t="s">
        <v>2117</v>
      </c>
      <c r="D971" t="s">
        <v>185</v>
      </c>
      <c r="E971" t="s">
        <v>152</v>
      </c>
      <c r="G971">
        <v>1</v>
      </c>
      <c r="H971">
        <v>1</v>
      </c>
      <c r="I971" t="s">
        <v>2118</v>
      </c>
      <c r="J971" t="s">
        <v>431</v>
      </c>
    </row>
    <row r="972" spans="1:10" x14ac:dyDescent="0.35">
      <c r="A972">
        <v>58532</v>
      </c>
      <c r="B972" t="s">
        <v>149</v>
      </c>
      <c r="C972" t="s">
        <v>2119</v>
      </c>
      <c r="D972" t="s">
        <v>185</v>
      </c>
      <c r="E972" t="s">
        <v>152</v>
      </c>
      <c r="G972">
        <v>1</v>
      </c>
      <c r="H972">
        <v>1</v>
      </c>
      <c r="I972" t="s">
        <v>2120</v>
      </c>
      <c r="J972" t="s">
        <v>431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1"/>
  <sheetViews>
    <sheetView workbookViewId="0">
      <selection activeCell="D14" sqref="D14"/>
    </sheetView>
  </sheetViews>
  <sheetFormatPr defaultRowHeight="14.5" x14ac:dyDescent="0.35"/>
  <cols>
    <col min="1" max="1" width="21.26953125" bestFit="1" customWidth="1"/>
    <col min="2" max="2" width="15.7265625" customWidth="1"/>
    <col min="3" max="3" width="21.1796875" customWidth="1"/>
    <col min="4" max="4" width="12.26953125" customWidth="1"/>
    <col min="5" max="5" width="15.7265625" customWidth="1"/>
    <col min="6" max="6" width="12.36328125" customWidth="1"/>
    <col min="7" max="7" width="13.81640625" bestFit="1" customWidth="1"/>
    <col min="8" max="8" width="13.36328125" customWidth="1"/>
    <col min="9" max="9" width="13.54296875" customWidth="1"/>
  </cols>
  <sheetData>
    <row r="1" spans="1:9" x14ac:dyDescent="0.35">
      <c r="A1" s="8" t="s">
        <v>10</v>
      </c>
      <c r="B1" s="8" t="s">
        <v>11</v>
      </c>
      <c r="C1" s="8" t="s">
        <v>12</v>
      </c>
      <c r="D1" s="8" t="s">
        <v>13</v>
      </c>
      <c r="E1" s="8" t="s">
        <v>14</v>
      </c>
      <c r="F1" s="8" t="s">
        <v>15</v>
      </c>
      <c r="G1" s="8" t="s">
        <v>16</v>
      </c>
      <c r="H1" s="8" t="s">
        <v>17</v>
      </c>
      <c r="I1" s="8" t="s">
        <v>18</v>
      </c>
    </row>
    <row r="2" spans="1:9" x14ac:dyDescent="0.35">
      <c r="A2" s="9" t="str" cm="1">
        <f t="array" ref="A2">IFERROR(INDEX(_xlfn.ANCHORARRAY(Lookup!$G$2),ROW()-1),"")</f>
        <v>Ahmed Mahmoud</v>
      </c>
      <c r="B2" s="9">
        <f>VLOOKUP(A2,Lookup!$A:$B,2,0)</f>
        <v>2041</v>
      </c>
      <c r="C2" s="9" t="str">
        <f>VLOOKUP(A2,Lookup!$A:$C,3,0)</f>
        <v>Full-time</v>
      </c>
      <c r="D2" s="9">
        <f t="array" ref="D2">SUMPRODUCT((ISNUMBER(SEARCH(A2,consolidated_efforts!$D$2:$D$972)))*(consolidated_efforts!$G$2:$G$972=0)*consolidated_efforts!$H$2:$H$972)</f>
        <v>186</v>
      </c>
      <c r="E2" s="9">
        <f t="array" ref="E2">SUMPRODUCT((ISNUMBER(SEARCH(A2,consolidated_efforts!$D$2:$D$972)))*(consolidated_efforts!$G$2:$G$972=1)*consolidated_efforts!$H$2:$H$972)</f>
        <v>0</v>
      </c>
      <c r="F2" s="9">
        <f t="shared" ref="F2:F16" si="0">D2+E2</f>
        <v>186</v>
      </c>
      <c r="G2" s="9" t="str">
        <f>VLOOKUP(A2,Lookup!$A:$D,4,0)</f>
        <v>Remon Ibrahim</v>
      </c>
      <c r="H2" s="9" t="str">
        <f>VLOOKUP(A2,Lookup!$A:$E,5,0)</f>
        <v>Hero</v>
      </c>
      <c r="I2" s="9" t="s">
        <v>20</v>
      </c>
    </row>
    <row r="3" spans="1:9" x14ac:dyDescent="0.35">
      <c r="A3" s="9" t="str" cm="1">
        <f t="array" ref="A3">IFERROR(INDEX(_xlfn.ANCHORARRAY(Lookup!$G$2),ROW()-1),"")</f>
        <v>Ismail Hamada</v>
      </c>
      <c r="B3" s="9" t="e">
        <f>VLOOKUP(A3,Lookup!$A:$B,2,0)</f>
        <v>#N/A</v>
      </c>
      <c r="C3" s="10" t="e">
        <f>VLOOKUP(A3,Lookup!$A:$C,3,0)</f>
        <v>#N/A</v>
      </c>
      <c r="D3" s="10">
        <f t="array" ref="D3">SUMPRODUCT((ISNUMBER(SEARCH(A3,consolidated_efforts!$D$2:$D$972)))*(consolidated_efforts!$G$2:$G$972=0)*consolidated_efforts!$H$2:$H$972)</f>
        <v>17</v>
      </c>
      <c r="E3" s="10">
        <f t="array" ref="E3">SUMPRODUCT((ISNUMBER(SEARCH(A3,consolidated_efforts!$D$2:$D$972)))*(consolidated_efforts!$G$2:$G$972=1)*consolidated_efforts!$H$2:$H$972)</f>
        <v>0</v>
      </c>
      <c r="F3" s="10">
        <f t="shared" si="0"/>
        <v>17</v>
      </c>
      <c r="G3" s="10" t="e">
        <f>VLOOKUP(A3,Lookup!$A:$D,4,0)</f>
        <v>#N/A</v>
      </c>
      <c r="H3" s="10" t="e">
        <f>VLOOKUP(A3,Lookup!$A:$E,5,0)</f>
        <v>#N/A</v>
      </c>
      <c r="I3" s="10" t="s">
        <v>22</v>
      </c>
    </row>
    <row r="4" spans="1:9" x14ac:dyDescent="0.35">
      <c r="A4" s="9" t="str" cm="1">
        <f t="array" ref="A4">IFERROR(INDEX(_xlfn.ANCHORARRAY(Lookup!$G$2),ROW()-1),"")</f>
        <v>Asmaa Khaled</v>
      </c>
      <c r="B4" s="9">
        <f>VLOOKUP(A4,Lookup!$A:$B,2,0)</f>
        <v>2376</v>
      </c>
      <c r="C4" s="11" t="str">
        <f>VLOOKUP(A4,Lookup!$A:$C,3,0)</f>
        <v>Full-time</v>
      </c>
      <c r="D4" s="11">
        <f t="array" ref="D4">SUMPRODUCT((ISNUMBER(SEARCH(A4,consolidated_efforts!$D$2:$D$972)))*(consolidated_efforts!$G$2:$G$972=0)*consolidated_efforts!$H$2:$H$972)</f>
        <v>147</v>
      </c>
      <c r="E4" s="11">
        <f t="array" ref="E4">SUMPRODUCT((ISNUMBER(SEARCH(A4,consolidated_efforts!$D$2:$D$972)))*(consolidated_efforts!$G$2:$G$972=1)*consolidated_efforts!$H$2:$H$972)</f>
        <v>5</v>
      </c>
      <c r="F4" s="11">
        <f t="shared" si="0"/>
        <v>152</v>
      </c>
      <c r="G4" s="11" t="str">
        <f>VLOOKUP(A4,Lookup!$A:$D,4,0)</f>
        <v>Remon Ibrahim</v>
      </c>
      <c r="H4" s="11" t="str">
        <f>VLOOKUP(A4,Lookup!$A:$E,5,0)</f>
        <v>Hero</v>
      </c>
      <c r="I4" s="11" t="s">
        <v>20</v>
      </c>
    </row>
    <row r="5" spans="1:9" x14ac:dyDescent="0.35">
      <c r="A5" s="9" t="str" cm="1">
        <f t="array" ref="A5">IFERROR(INDEX(_xlfn.ANCHORARRAY(Lookup!$G$2),ROW()-1),"")</f>
        <v>Rwan Osama</v>
      </c>
      <c r="B5" s="9">
        <f>VLOOKUP(A5,Lookup!$A:$B,2,0)</f>
        <v>0</v>
      </c>
      <c r="C5" s="4" t="str">
        <f>VLOOKUP(A5,Lookup!$A:$C,3,0)</f>
        <v>Freelancer</v>
      </c>
      <c r="D5" s="12">
        <f t="array" ref="D5">SUMPRODUCT((ISNUMBER(SEARCH(A5,consolidated_efforts!$D$2:$D$972)))*(consolidated_efforts!$G$2:$G$972=0)*consolidated_efforts!$H$2:$H$972)</f>
        <v>76</v>
      </c>
      <c r="E5" s="12">
        <f t="array" ref="E5">SUMPRODUCT((ISNUMBER(SEARCH(A5,consolidated_efforts!$D$2:$D$972)))*(consolidated_efforts!$G$2:$G$972=1)*consolidated_efforts!$H$2:$H$972)</f>
        <v>0</v>
      </c>
      <c r="F5" s="12">
        <f t="shared" si="0"/>
        <v>76</v>
      </c>
      <c r="G5" s="12" t="str">
        <f>VLOOKUP(A5,Lookup!$A:$D,4,0)</f>
        <v>Mostafa Helal</v>
      </c>
      <c r="H5" s="12" t="str">
        <f>VLOOKUP(A5,Lookup!$A:$E,5,0)</f>
        <v>Ninga</v>
      </c>
      <c r="I5" s="12" t="s">
        <v>25</v>
      </c>
    </row>
    <row r="6" spans="1:9" x14ac:dyDescent="0.35">
      <c r="A6" s="9" t="str" cm="1">
        <f t="array" ref="A6">IFERROR(INDEX(_xlfn.ANCHORARRAY(Lookup!$G$2),ROW()-1),"")</f>
        <v>Khaled Mohamed</v>
      </c>
      <c r="B6" s="9">
        <f>VLOOKUP(A6,Lookup!$A:$B,2,0)</f>
        <v>2237</v>
      </c>
      <c r="C6" s="11" t="str">
        <f>VLOOKUP(A6,Lookup!$A:$C,3,0)</f>
        <v>Full-time</v>
      </c>
      <c r="D6" s="11">
        <f t="array" ref="D6">SUMPRODUCT((ISNUMBER(SEARCH(A6,consolidated_efforts!$D$2:$D$972)))*(consolidated_efforts!$G$2:$G$972=0)*consolidated_efforts!$H$2:$H$972)</f>
        <v>166</v>
      </c>
      <c r="E6" s="11">
        <f t="array" ref="E6">SUMPRODUCT((ISNUMBER(SEARCH(A6,consolidated_efforts!$D$2:$D$972)))*(consolidated_efforts!$G$2:$G$972=1)*consolidated_efforts!$H$2:$H$972)</f>
        <v>79</v>
      </c>
      <c r="F6" s="11">
        <f t="shared" si="0"/>
        <v>245</v>
      </c>
      <c r="G6" s="11" t="str">
        <f>VLOOKUP(A6,Lookup!$A:$D,4,0)</f>
        <v>Mostafa Helal</v>
      </c>
      <c r="H6" s="11" t="str">
        <f>VLOOKUP(A6,Lookup!$A:$E,5,0)</f>
        <v>Ninga</v>
      </c>
      <c r="I6" s="11" t="s">
        <v>22</v>
      </c>
    </row>
    <row r="7" spans="1:9" x14ac:dyDescent="0.35">
      <c r="A7" s="9" t="str" cm="1">
        <f t="array" ref="A7">IFERROR(INDEX(_xlfn.ANCHORARRAY(Lookup!$G$2),ROW()-1),"")</f>
        <v>Mohamed Abdelkereem</v>
      </c>
      <c r="B7" s="9">
        <f>VLOOKUP(A7,Lookup!$A:$B,2,0)</f>
        <v>2292</v>
      </c>
      <c r="C7" s="4" t="str">
        <f>VLOOKUP(A7,Lookup!$A:$C,3,0)</f>
        <v>Full-time</v>
      </c>
      <c r="D7" s="12">
        <f t="array" ref="D7">SUMPRODUCT((ISNUMBER(SEARCH(A7,consolidated_efforts!$D$2:$D$972)))*(consolidated_efforts!$G$2:$G$972=0)*consolidated_efforts!$H$2:$H$972)</f>
        <v>160</v>
      </c>
      <c r="E7" s="12">
        <f t="array" ref="E7">SUMPRODUCT((ISNUMBER(SEARCH(A7,consolidated_efforts!$D$2:$D$972)))*(consolidated_efforts!$G$2:$G$972=1)*consolidated_efforts!$H$2:$H$972)</f>
        <v>41</v>
      </c>
      <c r="F7" s="12">
        <f t="shared" si="0"/>
        <v>201</v>
      </c>
      <c r="G7" s="12" t="str">
        <f>VLOOKUP(A7,Lookup!$A:$D,4,0)</f>
        <v>Mostafa Helal</v>
      </c>
      <c r="H7" s="12" t="str">
        <f>VLOOKUP(A7,Lookup!$A:$E,5,0)</f>
        <v>Ninga</v>
      </c>
      <c r="I7" s="12" t="s">
        <v>28</v>
      </c>
    </row>
    <row r="8" spans="1:9" x14ac:dyDescent="0.35">
      <c r="A8" s="9" t="str" cm="1">
        <f t="array" ref="A8">IFERROR(INDEX(_xlfn.ANCHORARRAY(Lookup!$G$2),ROW()-1),"")</f>
        <v>Ahmed Mostafa</v>
      </c>
      <c r="B8" s="9">
        <f>VLOOKUP(A8,Lookup!$A:$B,2,0)</f>
        <v>2426</v>
      </c>
      <c r="C8" s="11" t="str">
        <f>VLOOKUP(A8,Lookup!$A:$C,3,0)</f>
        <v>Full-time</v>
      </c>
      <c r="D8" s="11">
        <f t="array" ref="D8">SUMPRODUCT((ISNUMBER(SEARCH(A8,consolidated_efforts!$D$2:$D$972)))*(consolidated_efforts!$G$2:$G$972=0)*consolidated_efforts!$H$2:$H$972)</f>
        <v>203.5</v>
      </c>
      <c r="E8" s="11">
        <f t="array" ref="E8">SUMPRODUCT((ISNUMBER(SEARCH(A8,consolidated_efforts!$D$2:$D$972)))*(consolidated_efforts!$G$2:$G$972=1)*consolidated_efforts!$H$2:$H$972)</f>
        <v>42.5</v>
      </c>
      <c r="F8" s="11">
        <f t="shared" si="0"/>
        <v>246</v>
      </c>
      <c r="G8" s="11" t="str">
        <f>VLOOKUP(A8,Lookup!$A:$D,4,0)</f>
        <v>Mostafa Helal</v>
      </c>
      <c r="H8" s="11" t="str">
        <f>VLOOKUP(A8,Lookup!$A:$E,5,0)</f>
        <v>Ninga</v>
      </c>
      <c r="I8" s="11" t="s">
        <v>20</v>
      </c>
    </row>
    <row r="9" spans="1:9" x14ac:dyDescent="0.35">
      <c r="A9" s="9" t="str" cm="1">
        <f t="array" ref="A9">IFERROR(INDEX(_xlfn.ANCHORARRAY(Lookup!$G$2),ROW()-1),"")</f>
        <v>Taher Ayman</v>
      </c>
      <c r="B9" s="9">
        <f>VLOOKUP(A9,Lookup!$A:$B,2,0)</f>
        <v>2363</v>
      </c>
      <c r="C9" s="5" t="str">
        <f>VLOOKUP(A9,Lookup!$A:$C,3,0)</f>
        <v>Full-time</v>
      </c>
      <c r="D9" s="13">
        <f t="array" ref="D9">SUMPRODUCT((ISNUMBER(SEARCH(A9,consolidated_efforts!$D$2:$D$972)))*(consolidated_efforts!$G$2:$G$972=0)*consolidated_efforts!$H$2:$H$972)</f>
        <v>156</v>
      </c>
      <c r="E9" s="13">
        <f t="array" ref="E9">SUMPRODUCT((ISNUMBER(SEARCH(A9,consolidated_efforts!$D$2:$D$972)))*(consolidated_efforts!$G$2:$G$972=1)*consolidated_efforts!$H$2:$H$972)</f>
        <v>51</v>
      </c>
      <c r="F9" s="13">
        <f t="shared" si="0"/>
        <v>207</v>
      </c>
      <c r="G9" s="13" t="str">
        <f>VLOOKUP(A9,Lookup!$A:$D,4,0)</f>
        <v>Remon Ibrahim</v>
      </c>
      <c r="H9" s="13" t="str">
        <f>VLOOKUP(A9,Lookup!$A:$E,5,0)</f>
        <v>Hero</v>
      </c>
      <c r="I9" s="13" t="s">
        <v>31</v>
      </c>
    </row>
    <row r="10" spans="1:9" x14ac:dyDescent="0.35">
      <c r="A10" s="9" t="str" cm="1">
        <f t="array" ref="A10">IFERROR(INDEX(_xlfn.ANCHORARRAY(Lookup!$G$2),ROW()-1),"")</f>
        <v>Yossef Magdy</v>
      </c>
      <c r="B10" s="9">
        <f>VLOOKUP(A10,Lookup!$A:$B,2,0)</f>
        <v>2198</v>
      </c>
      <c r="C10" s="11" t="str">
        <f>VLOOKUP(A10,Lookup!$A:$C,3,0)</f>
        <v>Full-time</v>
      </c>
      <c r="D10" s="11">
        <f t="array" ref="D10">SUMPRODUCT((ISNUMBER(SEARCH(A10,consolidated_efforts!$D$2:$D$972)))*(consolidated_efforts!$G$2:$G$972=0)*consolidated_efforts!$H$2:$H$972)</f>
        <v>140</v>
      </c>
      <c r="E10" s="11">
        <f t="array" ref="E10">SUMPRODUCT((ISNUMBER(SEARCH(A10,consolidated_efforts!$D$2:$D$972)))*(consolidated_efforts!$G$2:$G$972=1)*consolidated_efforts!$H$2:$H$972)</f>
        <v>17</v>
      </c>
      <c r="F10" s="11">
        <f t="shared" si="0"/>
        <v>157</v>
      </c>
      <c r="G10" s="11" t="str">
        <f>VLOOKUP(A10,Lookup!$A:$D,4,0)</f>
        <v>Yehia Ibrahim</v>
      </c>
      <c r="H10" s="11" t="str">
        <f>VLOOKUP(A10,Lookup!$A:$E,5,0)</f>
        <v>Fighters</v>
      </c>
      <c r="I10" s="11" t="s">
        <v>25</v>
      </c>
    </row>
    <row r="11" spans="1:9" x14ac:dyDescent="0.35">
      <c r="A11" s="9" t="str" cm="1">
        <f t="array" ref="A11">IFERROR(INDEX(_xlfn.ANCHORARRAY(Lookup!$G$2),ROW()-1),"")</f>
        <v>Bassem Hessian</v>
      </c>
      <c r="B11" s="9">
        <f>VLOOKUP(A11,Lookup!$A:$B,2,0)</f>
        <v>0</v>
      </c>
      <c r="C11" s="5" t="str">
        <f>VLOOKUP(A11,Lookup!$A:$C,3,0)</f>
        <v>Freelancer</v>
      </c>
      <c r="D11" s="13">
        <f t="array" ref="D11">SUMPRODUCT((ISNUMBER(SEARCH(A11,consolidated_efforts!$D$2:$D$972)))*(consolidated_efforts!$G$2:$G$972=0)*consolidated_efforts!$H$2:$H$972)</f>
        <v>241.85000000000002</v>
      </c>
      <c r="E11" s="13">
        <f t="array" ref="E11">SUMPRODUCT((ISNUMBER(SEARCH(A11,consolidated_efforts!$D$2:$D$972)))*(consolidated_efforts!$G$2:$G$972=1)*consolidated_efforts!$H$2:$H$972)</f>
        <v>0</v>
      </c>
      <c r="F11" s="13">
        <f t="shared" si="0"/>
        <v>241.85000000000002</v>
      </c>
      <c r="G11" s="13" t="str">
        <f>VLOOKUP(A11,Lookup!$A:$D,4,0)</f>
        <v>Remon Ibrahim</v>
      </c>
      <c r="H11" s="13" t="str">
        <f>VLOOKUP(A11,Lookup!$A:$E,5,0)</f>
        <v>Hero</v>
      </c>
      <c r="I11" s="13" t="s">
        <v>22</v>
      </c>
    </row>
    <row r="12" spans="1:9" x14ac:dyDescent="0.35">
      <c r="A12" s="9" t="str" cm="1">
        <f t="array" ref="A12">IFERROR(INDEX(_xlfn.ANCHORARRAY(Lookup!$G$2),ROW()-1),"")</f>
        <v>Salma Wael</v>
      </c>
      <c r="B12" s="9">
        <f>VLOOKUP(A12,Lookup!$A:$B,2,0)</f>
        <v>0</v>
      </c>
      <c r="C12" s="11" t="str">
        <f>VLOOKUP(A12,Lookup!$A:$C,3,0)</f>
        <v>Intern</v>
      </c>
      <c r="D12" s="11">
        <f t="array" ref="D12">SUMPRODUCT((ISNUMBER(SEARCH(A12,consolidated_efforts!$D$2:$D$972)))*(consolidated_efforts!$G$2:$G$972=0)*consolidated_efforts!$H$2:$H$972)</f>
        <v>61</v>
      </c>
      <c r="E12" s="11">
        <f t="array" ref="E12">SUMPRODUCT((ISNUMBER(SEARCH(A12,consolidated_efforts!$D$2:$D$972)))*(consolidated_efforts!$G$2:$G$972=1)*consolidated_efforts!$H$2:$H$972)</f>
        <v>0</v>
      </c>
      <c r="F12" s="11">
        <f t="shared" si="0"/>
        <v>61</v>
      </c>
      <c r="G12" s="11" t="str">
        <f>VLOOKUP(A12,Lookup!$A:$D,4,0)</f>
        <v>Remon Ibrahim</v>
      </c>
      <c r="H12" s="11" t="str">
        <f>VLOOKUP(A12,Lookup!$A:$E,5,0)</f>
        <v>Hero</v>
      </c>
      <c r="I12" s="11" t="s">
        <v>20</v>
      </c>
    </row>
    <row r="13" spans="1:9" x14ac:dyDescent="0.35">
      <c r="A13" s="9" t="str" cm="1">
        <f t="array" ref="A13">IFERROR(INDEX(_xlfn.ANCHORARRAY(Lookup!$G$2),ROW()-1),"")</f>
        <v>Mohamed Sherif</v>
      </c>
      <c r="B13" s="9">
        <f>VLOOKUP(A13,Lookup!$A:$B,2,0)</f>
        <v>0</v>
      </c>
      <c r="C13" s="14" t="str">
        <f>VLOOKUP(A13,Lookup!$A:$C,3,0)</f>
        <v>Intern</v>
      </c>
      <c r="D13" s="14">
        <f t="array" ref="D13">SUMPRODUCT((ISNUMBER(SEARCH(A13,consolidated_efforts!$D$2:$D$972)))*(consolidated_efforts!$G$2:$G$972=0)*consolidated_efforts!$H$2:$H$972)</f>
        <v>61</v>
      </c>
      <c r="E13" s="14">
        <f t="array" ref="E13">SUMPRODUCT((ISNUMBER(SEARCH(A13,consolidated_efforts!$D$2:$D$972)))*(consolidated_efforts!$G$2:$G$972=1)*consolidated_efforts!$H$2:$H$972)</f>
        <v>0</v>
      </c>
      <c r="F13" s="14">
        <f t="shared" si="0"/>
        <v>61</v>
      </c>
      <c r="G13" s="14" t="str">
        <f>VLOOKUP(A13,Lookup!$A:$D,4,0)</f>
        <v>Remon Ibrahim</v>
      </c>
      <c r="H13" s="14" t="str">
        <f>VLOOKUP(A13,Lookup!$A:$E,5,0)</f>
        <v>Hero</v>
      </c>
      <c r="I13" s="14" t="s">
        <v>28</v>
      </c>
    </row>
    <row r="14" spans="1:9" x14ac:dyDescent="0.35">
      <c r="A14" s="9" t="str" cm="1">
        <f t="array" ref="A14">IFERROR(INDEX(_xlfn.ANCHORARRAY(Lookup!$G$2),ROW()-1),"")</f>
        <v>Ahmed Sultan</v>
      </c>
      <c r="B14" s="9">
        <f>VLOOKUP(A14,Lookup!$A:$B,2,0)</f>
        <v>0</v>
      </c>
      <c r="C14" s="14" t="str">
        <f>VLOOKUP(A14,Lookup!$A:$C,3,0)</f>
        <v>Freelancer</v>
      </c>
      <c r="D14" s="14">
        <f t="array" ref="D14">SUMPRODUCT((ISNUMBER(SEARCH(A14,consolidated_efforts!$D$2:$D$972)))*(consolidated_efforts!$G$2:$G$972=0)*consolidated_efforts!$H$2:$H$972)</f>
        <v>91</v>
      </c>
      <c r="E14" s="14">
        <f t="array" ref="E14">SUMPRODUCT((ISNUMBER(SEARCH(A14,consolidated_efforts!$D$2:$D$972)))*(consolidated_efforts!$G$2:$G$972=1)*consolidated_efforts!$H$2:$H$972)</f>
        <v>0</v>
      </c>
      <c r="F14" s="14">
        <f t="shared" si="0"/>
        <v>91</v>
      </c>
      <c r="G14" s="14" t="str">
        <f>VLOOKUP(A14,Lookup!$A:$D,4,0)</f>
        <v>Remon Ibrahim</v>
      </c>
      <c r="H14" s="14" t="str">
        <f>VLOOKUP(A14,Lookup!$A:$E,5,0)</f>
        <v>Hero</v>
      </c>
      <c r="I14" s="14" t="s">
        <v>25</v>
      </c>
    </row>
    <row r="15" spans="1:9" x14ac:dyDescent="0.35">
      <c r="A15" s="9" t="str" cm="1">
        <f t="array" ref="A15">IFERROR(INDEX(_xlfn.ANCHORARRAY(Lookup!$G$2),ROW()-1),"")</f>
        <v>Fayza Abdelsalam</v>
      </c>
      <c r="B15" s="9">
        <f>VLOOKUP(A15,Lookup!$A:$B,2,0)</f>
        <v>2311</v>
      </c>
      <c r="C15" s="14" t="str">
        <f>VLOOKUP(A15,Lookup!$A:$C,3,0)</f>
        <v>Full-time</v>
      </c>
      <c r="D15" s="14">
        <f t="array" ref="D15">SUMPRODUCT((ISNUMBER(SEARCH(A15,consolidated_efforts!$D$2:$D$972)))*(consolidated_efforts!$G$2:$G$972=0)*consolidated_efforts!$H$2:$H$972)</f>
        <v>134</v>
      </c>
      <c r="E15" s="14">
        <f t="array" ref="E15">SUMPRODUCT((ISNUMBER(SEARCH(A15,consolidated_efforts!$D$2:$D$972)))*(consolidated_efforts!$G$2:$G$972=1)*consolidated_efforts!$H$2:$H$972)</f>
        <v>32</v>
      </c>
      <c r="F15" s="14">
        <f t="shared" si="0"/>
        <v>166</v>
      </c>
      <c r="G15" s="14" t="str">
        <f>VLOOKUP(A15,Lookup!$A:$D,4,0)</f>
        <v>Remon Ibrahim</v>
      </c>
      <c r="H15" s="14" t="str">
        <f>VLOOKUP(A15,Lookup!$A:$E,5,0)</f>
        <v>Hero</v>
      </c>
      <c r="I15" s="14" t="s">
        <v>31</v>
      </c>
    </row>
    <row r="16" spans="1:9" x14ac:dyDescent="0.35">
      <c r="A16" s="9" t="str" cm="1">
        <f t="array" ref="A16">IFERROR(INDEX(_xlfn.ANCHORARRAY(Lookup!$G$2),ROW()-1),"")</f>
        <v>Mostafa Helal</v>
      </c>
      <c r="B16" s="9">
        <f>VLOOKUP(A16,Lookup!$A:$B,2,0)</f>
        <v>1602</v>
      </c>
      <c r="C16" s="14" t="str">
        <f>VLOOKUP(A16,Lookup!$A:$C,3,0)</f>
        <v>Full-time</v>
      </c>
      <c r="D16" s="14">
        <f t="array" ref="D16">SUMPRODUCT((ISNUMBER(SEARCH(A16,consolidated_efforts!$D$2:$D$972)))*(consolidated_efforts!$G$2:$G$972=0)*consolidated_efforts!$H$2:$H$972)</f>
        <v>160</v>
      </c>
      <c r="E16" s="14">
        <f t="array" ref="E16">SUMPRODUCT((ISNUMBER(SEARCH(A16,consolidated_efforts!$D$2:$D$972)))*(consolidated_efforts!$G$2:$G$972=1)*consolidated_efforts!$H$2:$H$972)</f>
        <v>43</v>
      </c>
      <c r="F16" s="14">
        <f t="shared" si="0"/>
        <v>203</v>
      </c>
      <c r="G16" s="14" t="str">
        <f>VLOOKUP(A16,Lookup!$A:$D,4,0)</f>
        <v>Mostafa Helal</v>
      </c>
      <c r="H16" s="14" t="str">
        <f>VLOOKUP(A16,Lookup!$A:$E,5,0)</f>
        <v>Ninga</v>
      </c>
      <c r="I16" s="14" t="s">
        <v>22</v>
      </c>
    </row>
    <row r="17" spans="1:9" x14ac:dyDescent="0.35">
      <c r="A17" s="9" t="str" cm="1">
        <f t="array" ref="A17">IFERROR(INDEX(_xlfn.ANCHORARRAY(Lookup!$G$2),ROW()-1),"")</f>
        <v>Emad Mahfouz</v>
      </c>
      <c r="B17" s="9">
        <f>VLOOKUP(A17,Lookup!$A:$B,2,0)</f>
        <v>1884</v>
      </c>
      <c r="C17" s="9" t="str">
        <f>VLOOKUP(A17,Lookup!$A:$C,3,0)</f>
        <v>Full-time</v>
      </c>
      <c r="D17" s="9">
        <f t="array" ref="D17">SUMPRODUCT((ISNUMBER(SEARCH(A17,consolidated_efforts!$D$2:$D$972)))*(consolidated_efforts!$G$2:$G$972=0)*consolidated_efforts!$H$2:$H$972)</f>
        <v>164</v>
      </c>
      <c r="E17" s="9">
        <f t="array" ref="E17">SUMPRODUCT((ISNUMBER(SEARCH(A17,consolidated_efforts!$D$2:$D$972)))*(consolidated_efforts!$G$2:$G$972=1)*consolidated_efforts!$H$2:$H$972)</f>
        <v>32</v>
      </c>
      <c r="F17" s="9">
        <f t="shared" ref="F17:F19" si="1">D17+E17</f>
        <v>196</v>
      </c>
      <c r="G17" s="9" t="str">
        <f>VLOOKUP(A17,Lookup!$A:$D,4,0)</f>
        <v>Yehia Ibrahim</v>
      </c>
      <c r="H17" s="9" t="str">
        <f>VLOOKUP(A17,Lookup!$A:$E,5,0)</f>
        <v>Fighters</v>
      </c>
      <c r="I17" s="9" t="s">
        <v>20</v>
      </c>
    </row>
    <row r="18" spans="1:9" x14ac:dyDescent="0.35">
      <c r="A18" s="9" t="str" cm="1">
        <f t="array" ref="A18">IFERROR(INDEX(_xlfn.ANCHORARRAY(Lookup!$G$2),ROW()-1),"")</f>
        <v>Remon Ibrahim</v>
      </c>
      <c r="B18" s="9">
        <f>VLOOKUP(A18,Lookup!$A:$B,2,0)</f>
        <v>2312</v>
      </c>
      <c r="C18" s="10" t="str">
        <f>VLOOKUP(A18,Lookup!$A:$C,3,0)</f>
        <v>Full-time</v>
      </c>
      <c r="D18" s="10">
        <f t="array" ref="D18">SUMPRODUCT((ISNUMBER(SEARCH(A18,consolidated_efforts!$D$2:$D$972)))*(consolidated_efforts!$G$2:$G$972=0)*consolidated_efforts!$H$2:$H$972)</f>
        <v>0</v>
      </c>
      <c r="E18" s="10">
        <f t="array" ref="E18">SUMPRODUCT((ISNUMBER(SEARCH(A18,consolidated_efforts!$D$2:$D$972)))*(consolidated_efforts!$G$2:$G$972=1)*consolidated_efforts!$H$2:$H$972)</f>
        <v>6</v>
      </c>
      <c r="F18" s="10">
        <f t="shared" si="1"/>
        <v>6</v>
      </c>
      <c r="G18" s="10" t="str">
        <f>VLOOKUP(A18,Lookup!$A:$D,4,0)</f>
        <v>Remon Ibrahim</v>
      </c>
      <c r="H18" s="10" t="str">
        <f>VLOOKUP(A18,Lookup!$A:$E,5,0)</f>
        <v>Hero</v>
      </c>
      <c r="I18" s="10" t="s">
        <v>22</v>
      </c>
    </row>
    <row r="19" spans="1:9" x14ac:dyDescent="0.35">
      <c r="A19" s="9" t="str" cm="1">
        <f t="array" ref="A19">IFERROR(INDEX(_xlfn.ANCHORARRAY(Lookup!$G$2),ROW()-1),"")</f>
        <v>Mostafa Shokry</v>
      </c>
      <c r="B19" s="9" t="e">
        <f>VLOOKUP(A19,Lookup!$A:$B,2,0)</f>
        <v>#N/A</v>
      </c>
      <c r="C19" s="11" t="e">
        <f>VLOOKUP(A19,Lookup!$A:$C,3,0)</f>
        <v>#N/A</v>
      </c>
      <c r="D19" s="11">
        <f t="array" ref="D19">SUMPRODUCT((ISNUMBER(SEARCH(A19,consolidated_efforts!$D$2:$D$972)))*(consolidated_efforts!$G$2:$G$972=0)*consolidated_efforts!$H$2:$H$972)</f>
        <v>174</v>
      </c>
      <c r="E19" s="11">
        <f t="array" ref="E19">SUMPRODUCT((ISNUMBER(SEARCH(A19,consolidated_efforts!$D$2:$D$972)))*(consolidated_efforts!$G$2:$G$972=1)*consolidated_efforts!$H$2:$H$972)</f>
        <v>0</v>
      </c>
      <c r="F19" s="11">
        <f t="shared" si="1"/>
        <v>174</v>
      </c>
      <c r="G19" s="11" t="e">
        <f>VLOOKUP(A19,Lookup!$A:$D,4,0)</f>
        <v>#N/A</v>
      </c>
      <c r="H19" s="11" t="e">
        <f>VLOOKUP(A19,Lookup!$A:$E,5,0)</f>
        <v>#N/A</v>
      </c>
      <c r="I19" s="11" t="s">
        <v>20</v>
      </c>
    </row>
    <row r="20" spans="1:9" x14ac:dyDescent="0.35">
      <c r="A20" s="18"/>
      <c r="B20" s="18"/>
      <c r="C20" s="19"/>
      <c r="D20" s="20"/>
      <c r="E20" s="20"/>
      <c r="F20" s="20"/>
      <c r="G20" s="20"/>
      <c r="H20" s="20"/>
      <c r="I20" s="20"/>
    </row>
    <row r="21" spans="1:9" x14ac:dyDescent="0.35">
      <c r="A21" s="7"/>
      <c r="B21" s="7"/>
      <c r="C21" s="7"/>
      <c r="D21" s="7">
        <f>SUM(D2:D19)</f>
        <v>2338.35</v>
      </c>
      <c r="E21" s="7">
        <f>SUM(E2:E19)</f>
        <v>348.5</v>
      </c>
      <c r="F21" s="7">
        <f>SUM(F2:F19)</f>
        <v>2686.85</v>
      </c>
      <c r="G21" s="7"/>
      <c r="H21" s="7"/>
      <c r="I21" s="7"/>
    </row>
  </sheetData>
  <autoFilter ref="A1:I19" xr:uid="{00000000-0009-0000-0000-000001000000}"/>
  <dataValidations count="1">
    <dataValidation type="list" allowBlank="1" showInputMessage="1" showErrorMessage="1" promptTitle="Project Code" prompt="Select the project code." sqref="I2:I20" xr:uid="{00000000-0002-0000-0100-000000000000}">
      <formula1>"'Project Code'!$A$2:$A$6"</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9"/>
  <sheetViews>
    <sheetView workbookViewId="0">
      <selection activeCell="G11" sqref="G11"/>
    </sheetView>
  </sheetViews>
  <sheetFormatPr defaultRowHeight="14.5" x14ac:dyDescent="0.35"/>
  <cols>
    <col min="1" max="1" width="21.26953125" bestFit="1" customWidth="1"/>
    <col min="2" max="2" width="13.81640625" bestFit="1" customWidth="1"/>
    <col min="3" max="3" width="19.08984375" bestFit="1" customWidth="1"/>
    <col min="4" max="4" width="13.81640625" bestFit="1" customWidth="1"/>
    <col min="5" max="5" width="11.36328125" bestFit="1" customWidth="1"/>
    <col min="7" max="7" width="13.54296875" customWidth="1"/>
    <col min="8" max="8" width="15.6328125" customWidth="1"/>
  </cols>
  <sheetData>
    <row r="1" spans="1:7" x14ac:dyDescent="0.35">
      <c r="A1" s="1" t="s">
        <v>10</v>
      </c>
      <c r="B1" s="1" t="s">
        <v>11</v>
      </c>
      <c r="C1" s="1" t="s">
        <v>12</v>
      </c>
      <c r="D1" s="1" t="s">
        <v>16</v>
      </c>
      <c r="E1" s="1" t="s">
        <v>17</v>
      </c>
      <c r="F1" s="1"/>
      <c r="G1" s="6" t="s">
        <v>148</v>
      </c>
    </row>
    <row r="2" spans="1:7" x14ac:dyDescent="0.35">
      <c r="A2" t="s">
        <v>19</v>
      </c>
      <c r="B2">
        <v>1884</v>
      </c>
      <c r="C2" t="s">
        <v>40</v>
      </c>
      <c r="D2" t="s">
        <v>41</v>
      </c>
      <c r="E2" t="s">
        <v>42</v>
      </c>
      <c r="G2" t="str" cm="1">
        <f t="array" ref="G2:G19">IFERROR(_xlfn.UNIQUE(_xlfn._xlws.FILTER(IFERROR(LEFT(consolidated_efforts!$D$2:$D$2000,FIND(" &lt;",consolidated_efforts!$D$2:$D$2000)-1),consolidated_efforts!$D$2:$D$2000),consolidated_efforts!$D$2:$D$2000&lt;&gt;"")),"")</f>
        <v>Ahmed Mahmoud</v>
      </c>
    </row>
    <row r="3" spans="1:7" x14ac:dyDescent="0.35">
      <c r="A3" t="s">
        <v>21</v>
      </c>
      <c r="B3">
        <v>2198</v>
      </c>
      <c r="C3" t="s">
        <v>40</v>
      </c>
      <c r="D3" t="s">
        <v>41</v>
      </c>
      <c r="E3" t="s">
        <v>42</v>
      </c>
      <c r="G3" t="str">
        <v>Ismail Hamada</v>
      </c>
    </row>
    <row r="4" spans="1:7" x14ac:dyDescent="0.35">
      <c r="A4" t="s">
        <v>23</v>
      </c>
      <c r="B4">
        <v>2041</v>
      </c>
      <c r="C4" t="s">
        <v>40</v>
      </c>
      <c r="D4" t="s">
        <v>32</v>
      </c>
      <c r="E4" t="s">
        <v>43</v>
      </c>
      <c r="G4" t="str">
        <v>Asmaa Khaled</v>
      </c>
    </row>
    <row r="5" spans="1:7" x14ac:dyDescent="0.35">
      <c r="A5" t="s">
        <v>24</v>
      </c>
      <c r="B5">
        <v>0</v>
      </c>
      <c r="C5" t="s">
        <v>44</v>
      </c>
      <c r="D5" t="s">
        <v>32</v>
      </c>
      <c r="E5" t="s">
        <v>43</v>
      </c>
      <c r="G5" t="str">
        <v>Rwan Osama</v>
      </c>
    </row>
    <row r="6" spans="1:7" x14ac:dyDescent="0.35">
      <c r="A6" t="s">
        <v>26</v>
      </c>
      <c r="B6">
        <v>2376</v>
      </c>
      <c r="C6" t="s">
        <v>40</v>
      </c>
      <c r="D6" t="s">
        <v>32</v>
      </c>
      <c r="E6" t="s">
        <v>43</v>
      </c>
      <c r="G6" t="str">
        <v>Khaled Mohamed</v>
      </c>
    </row>
    <row r="7" spans="1:7" x14ac:dyDescent="0.35">
      <c r="A7" t="s">
        <v>27</v>
      </c>
      <c r="B7">
        <v>0</v>
      </c>
      <c r="C7" t="s">
        <v>44</v>
      </c>
      <c r="D7" t="s">
        <v>32</v>
      </c>
      <c r="E7" t="s">
        <v>43</v>
      </c>
      <c r="G7" t="str">
        <v>Mohamed Abdelkereem</v>
      </c>
    </row>
    <row r="8" spans="1:7" x14ac:dyDescent="0.35">
      <c r="A8" t="s">
        <v>29</v>
      </c>
      <c r="B8">
        <v>2311</v>
      </c>
      <c r="C8" t="s">
        <v>40</v>
      </c>
      <c r="D8" t="s">
        <v>32</v>
      </c>
      <c r="E8" t="s">
        <v>43</v>
      </c>
      <c r="G8" t="str">
        <v>Ahmed Mostafa</v>
      </c>
    </row>
    <row r="9" spans="1:7" x14ac:dyDescent="0.35">
      <c r="A9" t="s">
        <v>30</v>
      </c>
      <c r="B9">
        <v>0</v>
      </c>
      <c r="C9" t="s">
        <v>45</v>
      </c>
      <c r="D9" t="s">
        <v>32</v>
      </c>
      <c r="E9" t="s">
        <v>43</v>
      </c>
      <c r="G9" t="str">
        <v>Taher Ayman</v>
      </c>
    </row>
    <row r="10" spans="1:7" x14ac:dyDescent="0.35">
      <c r="A10" t="s">
        <v>32</v>
      </c>
      <c r="B10">
        <v>2312</v>
      </c>
      <c r="C10" t="s">
        <v>40</v>
      </c>
      <c r="D10" t="s">
        <v>32</v>
      </c>
      <c r="E10" t="s">
        <v>43</v>
      </c>
      <c r="G10" t="str">
        <v>Yossef Magdy</v>
      </c>
    </row>
    <row r="11" spans="1:7" x14ac:dyDescent="0.35">
      <c r="A11" t="s">
        <v>33</v>
      </c>
      <c r="B11">
        <v>0</v>
      </c>
      <c r="C11" t="s">
        <v>45</v>
      </c>
      <c r="D11" t="s">
        <v>32</v>
      </c>
      <c r="E11" t="s">
        <v>43</v>
      </c>
      <c r="G11" t="str">
        <v>Bassem Hessian</v>
      </c>
    </row>
    <row r="12" spans="1:7" x14ac:dyDescent="0.35">
      <c r="A12" t="s">
        <v>34</v>
      </c>
      <c r="B12">
        <v>2363</v>
      </c>
      <c r="C12" t="s">
        <v>40</v>
      </c>
      <c r="D12" t="s">
        <v>32</v>
      </c>
      <c r="E12" t="s">
        <v>43</v>
      </c>
      <c r="G12" t="str">
        <v>Salma Wael</v>
      </c>
    </row>
    <row r="13" spans="1:7" x14ac:dyDescent="0.35">
      <c r="A13" t="s">
        <v>35</v>
      </c>
      <c r="B13">
        <v>2426</v>
      </c>
      <c r="C13" t="s">
        <v>40</v>
      </c>
      <c r="D13" t="s">
        <v>38</v>
      </c>
      <c r="E13" t="s">
        <v>46</v>
      </c>
      <c r="G13" t="str">
        <v>Mohamed Sherif</v>
      </c>
    </row>
    <row r="14" spans="1:7" x14ac:dyDescent="0.35">
      <c r="A14" t="s">
        <v>36</v>
      </c>
      <c r="B14">
        <v>2237</v>
      </c>
      <c r="C14" t="s">
        <v>40</v>
      </c>
      <c r="D14" t="s">
        <v>38</v>
      </c>
      <c r="E14" t="s">
        <v>46</v>
      </c>
      <c r="G14" t="str">
        <v>Ahmed Sultan</v>
      </c>
    </row>
    <row r="15" spans="1:7" x14ac:dyDescent="0.35">
      <c r="A15" t="s">
        <v>37</v>
      </c>
      <c r="B15">
        <v>2292</v>
      </c>
      <c r="C15" t="s">
        <v>40</v>
      </c>
      <c r="D15" t="s">
        <v>38</v>
      </c>
      <c r="E15" t="s">
        <v>46</v>
      </c>
      <c r="G15" t="str">
        <v>Fayza Abdelsalam</v>
      </c>
    </row>
    <row r="16" spans="1:7" x14ac:dyDescent="0.35">
      <c r="A16" t="s">
        <v>38</v>
      </c>
      <c r="B16">
        <v>1602</v>
      </c>
      <c r="C16" t="s">
        <v>40</v>
      </c>
      <c r="D16" t="s">
        <v>38</v>
      </c>
      <c r="E16" t="s">
        <v>46</v>
      </c>
      <c r="G16" t="str">
        <v>Mostafa Helal</v>
      </c>
    </row>
    <row r="17" spans="1:7" x14ac:dyDescent="0.35">
      <c r="A17" t="s">
        <v>39</v>
      </c>
      <c r="B17">
        <v>0</v>
      </c>
      <c r="C17" t="s">
        <v>44</v>
      </c>
      <c r="D17" t="s">
        <v>38</v>
      </c>
      <c r="E17" t="s">
        <v>46</v>
      </c>
      <c r="G17" t="str">
        <v>Emad Mahfouz</v>
      </c>
    </row>
    <row r="18" spans="1:7" x14ac:dyDescent="0.35">
      <c r="G18" t="str">
        <v>Remon Ibrahim</v>
      </c>
    </row>
    <row r="19" spans="1:7" x14ac:dyDescent="0.35">
      <c r="G19" t="str">
        <v>Mostafa Shokry</v>
      </c>
    </row>
  </sheetData>
  <dataValidations count="3">
    <dataValidation type="list" allowBlank="1" showInputMessage="1" showErrorMessage="1" promptTitle="Employment Contract" prompt="Select the contract type." sqref="C2:C17" xr:uid="{00000000-0002-0000-0200-000000000000}">
      <formula1>"Full-time,Freelancer,Intern"</formula1>
    </dataValidation>
    <dataValidation type="list" allowBlank="1" showInputMessage="1" showErrorMessage="1" promptTitle="Squad Lead" prompt="Select the squad lead." sqref="D2:D17" xr:uid="{00000000-0002-0000-0200-000001000000}">
      <formula1>"Yehia Ibrahim,Remon Ibrahim,Mostafa Helal"</formula1>
    </dataValidation>
    <dataValidation type="list" allowBlank="1" showInputMessage="1" showErrorMessage="1" promptTitle="Squad Name" prompt="Select the squad name." sqref="E2:E17" xr:uid="{00000000-0002-0000-0200-000002000000}">
      <formula1>"Fighters,Hero,Ninga"</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
  <sheetViews>
    <sheetView workbookViewId="0">
      <selection sqref="A1:B6"/>
    </sheetView>
  </sheetViews>
  <sheetFormatPr defaultRowHeight="14.5" x14ac:dyDescent="0.35"/>
  <cols>
    <col min="1" max="1" width="13.54296875" customWidth="1"/>
    <col min="2" max="2" width="17.1796875" bestFit="1" customWidth="1"/>
  </cols>
  <sheetData>
    <row r="1" spans="1:2" x14ac:dyDescent="0.35">
      <c r="A1" s="2" t="s">
        <v>18</v>
      </c>
      <c r="B1" s="2" t="s">
        <v>47</v>
      </c>
    </row>
    <row r="2" spans="1:2" x14ac:dyDescent="0.35">
      <c r="A2" t="s">
        <v>20</v>
      </c>
      <c r="B2" t="s">
        <v>48</v>
      </c>
    </row>
    <row r="3" spans="1:2" x14ac:dyDescent="0.35">
      <c r="A3" t="s">
        <v>22</v>
      </c>
      <c r="B3" t="s">
        <v>49</v>
      </c>
    </row>
    <row r="4" spans="1:2" x14ac:dyDescent="0.35">
      <c r="A4" t="s">
        <v>25</v>
      </c>
      <c r="B4" t="s">
        <v>50</v>
      </c>
    </row>
    <row r="5" spans="1:2" x14ac:dyDescent="0.35">
      <c r="A5" t="s">
        <v>28</v>
      </c>
      <c r="B5" t="s">
        <v>51</v>
      </c>
    </row>
    <row r="6" spans="1:2" x14ac:dyDescent="0.35">
      <c r="A6" t="s">
        <v>31</v>
      </c>
      <c r="B6" t="s">
        <v>52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21"/>
  <sheetViews>
    <sheetView tabSelected="1" topLeftCell="A26" workbookViewId="0">
      <selection activeCell="A36" sqref="A1:XFD1048576"/>
    </sheetView>
  </sheetViews>
  <sheetFormatPr defaultRowHeight="14.5" x14ac:dyDescent="0.35"/>
  <cols>
    <col min="1" max="1" width="164.90625" bestFit="1" customWidth="1"/>
  </cols>
  <sheetData>
    <row r="1" spans="1:1" ht="17" customHeight="1" x14ac:dyDescent="0.4">
      <c r="A1" s="15" t="s">
        <v>53</v>
      </c>
    </row>
    <row r="2" spans="1:1" x14ac:dyDescent="0.35">
      <c r="A2" t="s">
        <v>54</v>
      </c>
    </row>
    <row r="4" spans="1:1" x14ac:dyDescent="0.35">
      <c r="A4" s="16" t="s">
        <v>55</v>
      </c>
    </row>
    <row r="5" spans="1:1" x14ac:dyDescent="0.35">
      <c r="A5" t="s">
        <v>56</v>
      </c>
    </row>
    <row r="6" spans="1:1" x14ac:dyDescent="0.35">
      <c r="A6" t="s">
        <v>57</v>
      </c>
    </row>
    <row r="7" spans="1:1" x14ac:dyDescent="0.35">
      <c r="A7" t="s">
        <v>58</v>
      </c>
    </row>
    <row r="8" spans="1:1" x14ac:dyDescent="0.35">
      <c r="A8" t="s">
        <v>59</v>
      </c>
    </row>
    <row r="9" spans="1:1" x14ac:dyDescent="0.35">
      <c r="A9" t="s">
        <v>60</v>
      </c>
    </row>
    <row r="11" spans="1:1" x14ac:dyDescent="0.35">
      <c r="A11" s="16" t="s">
        <v>61</v>
      </c>
    </row>
    <row r="12" spans="1:1" x14ac:dyDescent="0.35">
      <c r="A12" t="s">
        <v>62</v>
      </c>
    </row>
    <row r="13" spans="1:1" x14ac:dyDescent="0.35">
      <c r="A13" t="s">
        <v>63</v>
      </c>
    </row>
    <row r="15" spans="1:1" x14ac:dyDescent="0.35">
      <c r="A15" t="s">
        <v>64</v>
      </c>
    </row>
    <row r="16" spans="1:1" x14ac:dyDescent="0.35">
      <c r="A16" t="s">
        <v>65</v>
      </c>
    </row>
    <row r="17" spans="1:1" x14ac:dyDescent="0.35">
      <c r="A17" t="s">
        <v>66</v>
      </c>
    </row>
    <row r="18" spans="1:1" x14ac:dyDescent="0.35">
      <c r="A18" t="s">
        <v>67</v>
      </c>
    </row>
    <row r="20" spans="1:1" x14ac:dyDescent="0.35">
      <c r="A20" s="16" t="s">
        <v>68</v>
      </c>
    </row>
    <row r="21" spans="1:1" x14ac:dyDescent="0.35">
      <c r="A21" t="s">
        <v>69</v>
      </c>
    </row>
    <row r="22" spans="1:1" x14ac:dyDescent="0.35">
      <c r="A22" t="s">
        <v>70</v>
      </c>
    </row>
    <row r="23" spans="1:1" x14ac:dyDescent="0.35">
      <c r="A23" t="s">
        <v>71</v>
      </c>
    </row>
    <row r="24" spans="1:1" x14ac:dyDescent="0.35">
      <c r="A24" t="s">
        <v>72</v>
      </c>
    </row>
    <row r="25" spans="1:1" x14ac:dyDescent="0.35">
      <c r="A25" t="s">
        <v>73</v>
      </c>
    </row>
    <row r="26" spans="1:1" x14ac:dyDescent="0.35">
      <c r="A26" t="s">
        <v>74</v>
      </c>
    </row>
    <row r="27" spans="1:1" x14ac:dyDescent="0.35">
      <c r="A27" t="s">
        <v>75</v>
      </c>
    </row>
    <row r="28" spans="1:1" x14ac:dyDescent="0.35">
      <c r="A28" t="s">
        <v>76</v>
      </c>
    </row>
    <row r="30" spans="1:1" x14ac:dyDescent="0.35">
      <c r="A30" s="16" t="s">
        <v>77</v>
      </c>
    </row>
    <row r="31" spans="1:1" x14ac:dyDescent="0.35">
      <c r="A31" t="s">
        <v>78</v>
      </c>
    </row>
    <row r="32" spans="1:1" x14ac:dyDescent="0.35">
      <c r="A32" t="s">
        <v>79</v>
      </c>
    </row>
    <row r="34" spans="1:1" x14ac:dyDescent="0.35">
      <c r="A34" t="s">
        <v>80</v>
      </c>
    </row>
    <row r="36" spans="1:1" x14ac:dyDescent="0.35">
      <c r="A36" t="s">
        <v>81</v>
      </c>
    </row>
    <row r="37" spans="1:1" x14ac:dyDescent="0.35">
      <c r="A37" t="s">
        <v>82</v>
      </c>
    </row>
    <row r="39" spans="1:1" x14ac:dyDescent="0.35">
      <c r="A39" t="s">
        <v>83</v>
      </c>
    </row>
    <row r="40" spans="1:1" x14ac:dyDescent="0.35">
      <c r="A40" t="s">
        <v>84</v>
      </c>
    </row>
    <row r="42" spans="1:1" x14ac:dyDescent="0.35">
      <c r="A42" t="s">
        <v>85</v>
      </c>
    </row>
    <row r="43" spans="1:1" x14ac:dyDescent="0.35">
      <c r="A43" t="s">
        <v>86</v>
      </c>
    </row>
    <row r="45" spans="1:1" x14ac:dyDescent="0.35">
      <c r="A45" t="s">
        <v>87</v>
      </c>
    </row>
    <row r="46" spans="1:1" x14ac:dyDescent="0.35">
      <c r="A46" t="s">
        <v>88</v>
      </c>
    </row>
    <row r="48" spans="1:1" x14ac:dyDescent="0.35">
      <c r="A48" t="s">
        <v>89</v>
      </c>
    </row>
    <row r="49" spans="1:1" x14ac:dyDescent="0.35">
      <c r="A49" t="s">
        <v>90</v>
      </c>
    </row>
    <row r="50" spans="1:1" x14ac:dyDescent="0.35">
      <c r="A50" t="s">
        <v>91</v>
      </c>
    </row>
    <row r="51" spans="1:1" x14ac:dyDescent="0.35">
      <c r="A51" t="s">
        <v>92</v>
      </c>
    </row>
    <row r="52" spans="1:1" x14ac:dyDescent="0.35">
      <c r="A52" t="s">
        <v>93</v>
      </c>
    </row>
    <row r="54" spans="1:1" x14ac:dyDescent="0.35">
      <c r="A54" t="s">
        <v>94</v>
      </c>
    </row>
    <row r="55" spans="1:1" x14ac:dyDescent="0.35">
      <c r="A55" t="s">
        <v>95</v>
      </c>
    </row>
    <row r="57" spans="1:1" x14ac:dyDescent="0.35">
      <c r="A57" t="s">
        <v>96</v>
      </c>
    </row>
    <row r="58" spans="1:1" x14ac:dyDescent="0.35">
      <c r="A58" t="s">
        <v>97</v>
      </c>
    </row>
    <row r="60" spans="1:1" x14ac:dyDescent="0.35">
      <c r="A60" t="s">
        <v>98</v>
      </c>
    </row>
    <row r="61" spans="1:1" x14ac:dyDescent="0.35">
      <c r="A61" t="s">
        <v>99</v>
      </c>
    </row>
    <row r="63" spans="1:1" x14ac:dyDescent="0.35">
      <c r="A63" t="s">
        <v>100</v>
      </c>
    </row>
    <row r="64" spans="1:1" x14ac:dyDescent="0.35">
      <c r="A64" t="s">
        <v>101</v>
      </c>
    </row>
    <row r="65" spans="1:1" x14ac:dyDescent="0.35">
      <c r="A65" t="s">
        <v>102</v>
      </c>
    </row>
    <row r="67" spans="1:1" x14ac:dyDescent="0.35">
      <c r="A67" t="s">
        <v>103</v>
      </c>
    </row>
    <row r="68" spans="1:1" x14ac:dyDescent="0.35">
      <c r="A68" t="s">
        <v>104</v>
      </c>
    </row>
    <row r="69" spans="1:1" x14ac:dyDescent="0.35">
      <c r="A69" t="s">
        <v>105</v>
      </c>
    </row>
    <row r="70" spans="1:1" x14ac:dyDescent="0.35">
      <c r="A70" t="s">
        <v>106</v>
      </c>
    </row>
    <row r="71" spans="1:1" x14ac:dyDescent="0.35">
      <c r="A71" t="s">
        <v>107</v>
      </c>
    </row>
    <row r="72" spans="1:1" x14ac:dyDescent="0.35">
      <c r="A72" t="s">
        <v>108</v>
      </c>
    </row>
    <row r="74" spans="1:1" x14ac:dyDescent="0.35">
      <c r="A74" s="16" t="s">
        <v>109</v>
      </c>
    </row>
    <row r="75" spans="1:1" x14ac:dyDescent="0.35">
      <c r="A75" t="s">
        <v>110</v>
      </c>
    </row>
    <row r="76" spans="1:1" x14ac:dyDescent="0.35">
      <c r="A76" t="s">
        <v>111</v>
      </c>
    </row>
    <row r="78" spans="1:1" x14ac:dyDescent="0.35">
      <c r="A78" s="3" t="s">
        <v>112</v>
      </c>
    </row>
    <row r="79" spans="1:1" x14ac:dyDescent="0.35">
      <c r="A79" t="s">
        <v>113</v>
      </c>
    </row>
    <row r="80" spans="1:1" x14ac:dyDescent="0.35">
      <c r="A80" t="s">
        <v>114</v>
      </c>
    </row>
    <row r="81" spans="1:1" x14ac:dyDescent="0.35">
      <c r="A81" t="s">
        <v>115</v>
      </c>
    </row>
    <row r="82" spans="1:1" x14ac:dyDescent="0.35">
      <c r="A82" t="s">
        <v>116</v>
      </c>
    </row>
    <row r="84" spans="1:1" x14ac:dyDescent="0.35">
      <c r="A84" s="3" t="s">
        <v>117</v>
      </c>
    </row>
    <row r="85" spans="1:1" x14ac:dyDescent="0.35">
      <c r="A85" t="s">
        <v>118</v>
      </c>
    </row>
    <row r="86" spans="1:1" x14ac:dyDescent="0.35">
      <c r="A86" t="s">
        <v>119</v>
      </c>
    </row>
    <row r="88" spans="1:1" x14ac:dyDescent="0.35">
      <c r="A88" t="s">
        <v>120</v>
      </c>
    </row>
    <row r="89" spans="1:1" x14ac:dyDescent="0.35">
      <c r="A89" t="s">
        <v>121</v>
      </c>
    </row>
    <row r="91" spans="1:1" x14ac:dyDescent="0.35">
      <c r="A91" s="16" t="s">
        <v>122</v>
      </c>
    </row>
    <row r="92" spans="1:1" x14ac:dyDescent="0.35">
      <c r="A92" t="s">
        <v>123</v>
      </c>
    </row>
    <row r="93" spans="1:1" x14ac:dyDescent="0.35">
      <c r="A93" t="s">
        <v>124</v>
      </c>
    </row>
    <row r="94" spans="1:1" x14ac:dyDescent="0.35">
      <c r="A94" t="s">
        <v>125</v>
      </c>
    </row>
    <row r="96" spans="1:1" x14ac:dyDescent="0.35">
      <c r="A96" s="16" t="s">
        <v>126</v>
      </c>
    </row>
    <row r="97" spans="1:1" x14ac:dyDescent="0.35">
      <c r="A97" t="s">
        <v>127</v>
      </c>
    </row>
    <row r="98" spans="1:1" x14ac:dyDescent="0.35">
      <c r="A98" t="s">
        <v>128</v>
      </c>
    </row>
    <row r="99" spans="1:1" x14ac:dyDescent="0.35">
      <c r="A99" t="s">
        <v>129</v>
      </c>
    </row>
    <row r="100" spans="1:1" x14ac:dyDescent="0.35">
      <c r="A100" t="s">
        <v>130</v>
      </c>
    </row>
    <row r="102" spans="1:1" x14ac:dyDescent="0.35">
      <c r="A102" t="s">
        <v>131</v>
      </c>
    </row>
    <row r="103" spans="1:1" x14ac:dyDescent="0.35">
      <c r="A103" t="s">
        <v>132</v>
      </c>
    </row>
    <row r="105" spans="1:1" x14ac:dyDescent="0.35">
      <c r="A105" s="16" t="s">
        <v>133</v>
      </c>
    </row>
    <row r="106" spans="1:1" x14ac:dyDescent="0.35">
      <c r="A106" t="s">
        <v>134</v>
      </c>
    </row>
    <row r="107" spans="1:1" x14ac:dyDescent="0.35">
      <c r="A107" t="s">
        <v>135</v>
      </c>
    </row>
    <row r="108" spans="1:1" x14ac:dyDescent="0.35">
      <c r="A108" t="s">
        <v>136</v>
      </c>
    </row>
    <row r="109" spans="1:1" x14ac:dyDescent="0.35">
      <c r="A109" t="s">
        <v>137</v>
      </c>
    </row>
    <row r="111" spans="1:1" x14ac:dyDescent="0.35">
      <c r="A111" t="s">
        <v>138</v>
      </c>
    </row>
    <row r="112" spans="1:1" x14ac:dyDescent="0.35">
      <c r="A112" t="s">
        <v>139</v>
      </c>
    </row>
    <row r="114" spans="1:1" x14ac:dyDescent="0.35">
      <c r="A114" s="6" t="s">
        <v>141</v>
      </c>
    </row>
    <row r="115" spans="1:1" x14ac:dyDescent="0.35">
      <c r="A115" s="17" t="s">
        <v>142</v>
      </c>
    </row>
    <row r="116" spans="1:1" x14ac:dyDescent="0.35">
      <c r="A116" s="17" t="s">
        <v>143</v>
      </c>
    </row>
    <row r="117" spans="1:1" x14ac:dyDescent="0.35">
      <c r="A117" s="17" t="s">
        <v>144</v>
      </c>
    </row>
    <row r="118" spans="1:1" x14ac:dyDescent="0.35">
      <c r="A118" s="17" t="s">
        <v>145</v>
      </c>
    </row>
    <row r="119" spans="1:1" x14ac:dyDescent="0.35">
      <c r="A119" s="17" t="s">
        <v>146</v>
      </c>
    </row>
    <row r="120" spans="1:1" x14ac:dyDescent="0.35">
      <c r="A120" s="17" t="s">
        <v>147</v>
      </c>
    </row>
    <row r="121" spans="1:1" x14ac:dyDescent="0.35">
      <c r="A121" s="6" t="s">
        <v>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consolidated_efforts</vt:lpstr>
      <vt:lpstr>Employees Effort</vt:lpstr>
      <vt:lpstr>Lookup</vt:lpstr>
      <vt:lpstr>Project Code</vt:lpstr>
      <vt:lpstr>Setup Prompt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Yasser Mabrouk</cp:lastModifiedBy>
  <dcterms:created xsi:type="dcterms:W3CDTF">2026-05-24T21:12:14Z</dcterms:created>
  <dcterms:modified xsi:type="dcterms:W3CDTF">2026-05-24T22:08:52Z</dcterms:modified>
</cp:coreProperties>
</file>